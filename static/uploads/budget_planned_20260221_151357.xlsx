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YAIR FERNANDEZ\Desktop\DOCUMENTOS DE CONSTRUCTORA\"/>
    </mc:Choice>
  </mc:AlternateContent>
  <xr:revisionPtr revIDLastSave="0" documentId="8_{9372F1F1-27DB-4C6E-970C-228B024E48B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RESUPUESTO__V10" sheetId="1" r:id="rId1"/>
    <sheet name="Control de polizas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ADH12">[1]BASE!$D$238</definedName>
    <definedName name="_ADM12">[1]BASE!$D$239</definedName>
    <definedName name="_ADM2">[1]BASE!$D$119</definedName>
    <definedName name="_ADM4">[2]BASE!$D$114</definedName>
    <definedName name="_AIU2">[3]BASE!$C$5</definedName>
    <definedName name="_BLO20">[1]BASE!$D$52</definedName>
    <definedName name="_CAN28">[4]BASE!$D$424</definedName>
    <definedName name="_ETF315">[5]BASE!$D$455</definedName>
    <definedName name="_xlnm._FilterDatabase" localSheetId="0" hidden="1">PRESUPUESTO__V10!$C$7:$K$7</definedName>
    <definedName name="_LAC18">[1]BASE!$D$281</definedName>
    <definedName name="_Pa1">[6]Paral__1!$E$1:$E$65536</definedName>
    <definedName name="_Pa2">[6]Paral__2!$E$1:$E$65536</definedName>
    <definedName name="_Pa3">[6]Paral__3!$E$1:$E$65536</definedName>
    <definedName name="_Pa4">[6]Paral_4!$E$1:$E$65536</definedName>
    <definedName name="_REP43">[7]BASE!$D$136</definedName>
    <definedName name="_ST106">[4]BASE!$D$219</definedName>
    <definedName name="_ST126">[4]BASE!$D$220</definedName>
    <definedName name="_ST146">[4]BASE!$D$238</definedName>
    <definedName name="_ST166">[8]BASE!$D$245</definedName>
    <definedName name="_ST186">[4]BASE!$D$221</definedName>
    <definedName name="_ST206">[4]BASE!$D$222</definedName>
    <definedName name="_ST86">[4]BASE!$D$218</definedName>
    <definedName name="_TES44">[1]BASE!$D$151</definedName>
    <definedName name="_TPF12">[1]BASE!$D$237</definedName>
    <definedName name="_TPN1002">[5]BASE!$D$145</definedName>
    <definedName name="_TPN1003">[5]BASE!$D$146</definedName>
    <definedName name="_TR114">[4]BASE!$D$237</definedName>
    <definedName name="_TZ212">[1]BASE!$D$71</definedName>
    <definedName name="A40LI">[4]BASE!$D$27</definedName>
    <definedName name="A60FI">[4]BASE!$D$24</definedName>
    <definedName name="ACOND">[1]BASE!$D$236</definedName>
    <definedName name="AGUA">[4]BASE!$D$453</definedName>
    <definedName name="AIU">[4]BASE!$C$3</definedName>
    <definedName name="ALANR">[4]BASE!$D$23</definedName>
    <definedName name="ALPUA">[1]BASE!$D$264</definedName>
    <definedName name="ARANA">[4]BASE!$D$433</definedName>
    <definedName name="ARELC">[1]BASE!$D$58</definedName>
    <definedName name="ARENC">[4]BASE!$D$53</definedName>
    <definedName name="ARENI">[4]BASE!$D$52</definedName>
    <definedName name="ARENP">[4]BASE!$D$51</definedName>
    <definedName name="AYUDA">[4]BASE!$D$12</definedName>
    <definedName name="AYUDR">[4]BASE!$D$13</definedName>
    <definedName name="BISCO">[1]BASE!$D$282</definedName>
    <definedName name="BOMBA">[4]BASE!$D$432</definedName>
    <definedName name="BOTAD">[4]BASE!$D$443</definedName>
    <definedName name="BOTES">[4]BASE!$D$447</definedName>
    <definedName name="CAJAV">[1]BASE!$D$315</definedName>
    <definedName name="CAJMI">[1]BASE!$D$247</definedName>
    <definedName name="CANGU">[4]BASE!$D$411</definedName>
    <definedName name="CARGUER">[9]BASE!$D$392</definedName>
    <definedName name="Casa">[10]Hoja1!$A$4:$F$211</definedName>
    <definedName name="CEMEG">[4]BASE!$D$55</definedName>
    <definedName name="CLAVO">[4]BASE!$D$69</definedName>
    <definedName name="CMMO">[4]BASE!$D$409</definedName>
    <definedName name="CMMOA">[11]BASE!$D$455</definedName>
    <definedName name="CO90S4">[1]BASE!$D$143</definedName>
    <definedName name="COMPR">[4]BASE!$D$408</definedName>
    <definedName name="CONM1">[4]BASE!$D$412</definedName>
    <definedName name="CONM2">[4]BASE!$D$413</definedName>
    <definedName name="CONMX">[4]BASE!$D$454</definedName>
    <definedName name="cota">[12]Base_de_Diseño!$A$1:$D$290</definedName>
    <definedName name="COTAS">[13]Hoja3!$A$5:$B$154</definedName>
    <definedName name="CT110K">[1]BASE_CTOS!$B$16</definedName>
    <definedName name="CT140K">[1]BASE_CTOS!$B$33</definedName>
    <definedName name="ct140kg">[4]BASE!$D$37</definedName>
    <definedName name="CT180K">[1]BASE_CTOS!$B$50</definedName>
    <definedName name="CT180KG">[1]BASE!$D$32</definedName>
    <definedName name="CT210K">[1]BASE_CTOS!$B$67</definedName>
    <definedName name="CT210KG">[4]BASE!$D$35</definedName>
    <definedName name="CT245K">[1]BASE_CTOS!$B$84</definedName>
    <definedName name="CT245KG">[1]BASE!$D$30</definedName>
    <definedName name="CVa">[6]Cambio_de_Valv_!$E$1:$E$65536</definedName>
    <definedName name="CYLL2">[1]BASE!$D$240</definedName>
    <definedName name="datos1">[14]Base_de_Diseño!$A$1:$D$204</definedName>
    <definedName name="Ene">[15]ENE!$A$12:$H$34</definedName>
    <definedName name="Ene_C">[15]ENE!$A$35:$H$52</definedName>
    <definedName name="EneFeb">'[16]Ene-Feb'!$A$12:$H$34</definedName>
    <definedName name="EQUIPO">[17]EQUIPOS_Y_TRANS_!$A$6:$A$57</definedName>
    <definedName name="ESTOP">[5]BASE!$D$391</definedName>
    <definedName name="Feb">[15]FEB!$A$12:$H$33</definedName>
    <definedName name="Feb_C">[15]FEB!$A$35:$H$51</definedName>
    <definedName name="FORM3">[1]BASE!$D$347</definedName>
    <definedName name="FORMA">[4]BASE!$D$427</definedName>
    <definedName name="FORMH">[4]BASE!$D$430</definedName>
    <definedName name="FORMH1">[18]BASE!$D$344</definedName>
    <definedName name="FORMM">[4]BASE!$D$426</definedName>
    <definedName name="fsdf">[19]INSUMOS_FINAL!$B$8:$B$336</definedName>
    <definedName name="GASO">[5]BASE!$D$471</definedName>
    <definedName name="GRAV2">[4]BASE!$D$57</definedName>
    <definedName name="GRAV3">[1]BASE!$D$54</definedName>
    <definedName name="GRAV4">[20]BASE!$D$63</definedName>
    <definedName name="HC78MH">[4]BASE!$D$29</definedName>
    <definedName name="Hid">[6]Interc_de_Hidr_!$E$1:$E$65536</definedName>
    <definedName name="HORASHOMBRE">[21]DATOS_SEMANALES!$F$234:$Y$238</definedName>
    <definedName name="HT75MH">[4]BASE!$D$28</definedName>
    <definedName name="IMPRI">[4]BASE!$D$455</definedName>
    <definedName name="INSU">[22]INSUMOS!$A$1:$E$65536</definedName>
    <definedName name="InTap">[6]Interc_tapones!$E$1:$E$65536</definedName>
    <definedName name="INTERv">[20]BASE!$C$5</definedName>
    <definedName name="IntVal">[6]Interc_válv_!$E$1:$E$65536</definedName>
    <definedName name="JulAgo">'[16]Jul-Ago'!$A$12:$H$29</definedName>
    <definedName name="JulAgo_C">'[23]Jul-Ago'!$A$30:$H$45</definedName>
    <definedName name="LARGUE">[9]BASE!$D$394</definedName>
    <definedName name="LIMP14">[18]BASE!$D$69</definedName>
    <definedName name="ListaUni">[24]TOTALES!$D$7:$D$654</definedName>
    <definedName name="LISTON">[9]BASE!$D$395</definedName>
    <definedName name="LLAP12">[1]BASE!$D$244</definedName>
    <definedName name="LUBRI">[1]BASE!$D$234</definedName>
    <definedName name="LUPVC">[1]BASE!$D$66</definedName>
    <definedName name="M120K">[1]BASE!$D$38</definedName>
    <definedName name="M240K">[1]BASE!$D$37</definedName>
    <definedName name="M280K">[4]BASE!$D$40</definedName>
    <definedName name="MANTO">[9]BASE!$D$401</definedName>
    <definedName name="Mar">[15]MAR!$A$12:$H$33</definedName>
    <definedName name="Mar_C">[15]MAR!$A$35:$H$51</definedName>
    <definedName name="MarAbr">'[16]Mar-Abr'!$A$12:$H$34</definedName>
    <definedName name="MATPR">[4]BASE!$D$49</definedName>
    <definedName name="MayJun">'[16]May-Jun'!$A$12:$H$32</definedName>
    <definedName name="MayJun_C">'[23]May-Jun'!$A$33:$H$52</definedName>
    <definedName name="MC4CM">[1]BASE!$D$290</definedName>
    <definedName name="MEDID">[1]BASE!$D$246</definedName>
    <definedName name="MO120K">[1]BASE_CTOS!$B$131</definedName>
    <definedName name="MO240K">[1]BASE_CTOS!$B$116</definedName>
    <definedName name="MO280K">[1]BASE_CTOS!$B$101</definedName>
    <definedName name="MOIHF">[4]BASE!$D$17</definedName>
    <definedName name="MOPRE">[4]BASE!$D$15</definedName>
    <definedName name="MOTOP">[4]BASE!$D$14</definedName>
    <definedName name="MOVOL">[4]BASE!$D$16</definedName>
    <definedName name="NovDic">'[16]Nov-Dic'!$A$12:$H$34</definedName>
    <definedName name="O">[1]BASE!$C$5</definedName>
    <definedName name="OFICI">[4]BASE!$D$11</definedName>
    <definedName name="PA14X">[1]BASE!$D$254</definedName>
    <definedName name="PERNO">[4]BASE!$D$331</definedName>
    <definedName name="PIEDR">[4]BASE!$D$50</definedName>
    <definedName name="PLAELE">[5]BASE!$D$457</definedName>
    <definedName name="PLAST">[4]BASE!$D$328</definedName>
    <definedName name="PREM">[1]BASE!$D$371</definedName>
    <definedName name="presta">[4]BASE!$D$8</definedName>
    <definedName name="RETRO">[4]BASE!$D$410</definedName>
    <definedName name="RLIGA">[4]BASE!$D$456</definedName>
    <definedName name="SDFG">[25]BASE!$C$3</definedName>
    <definedName name="SepOct">'[16]Sep-Oct'!$A$12:$H$30</definedName>
    <definedName name="SepOct_C">'[23]Sep-Oct'!$A$31:$H$45</definedName>
    <definedName name="SF">[26]INSUMOS_FINAL!$B$8:$B$344</definedName>
    <definedName name="SIKA1">[27]BASE!$D$365</definedName>
    <definedName name="SIKAD">[4]BASE!$D$452</definedName>
    <definedName name="SLPVC">[1]BASE!$D$235</definedName>
    <definedName name="SMMLV">[4]PRESTA!$D$13</definedName>
    <definedName name="SOLD14">[18]BASE!$D$71</definedName>
    <definedName name="SUELDOS">[28]SUELDOS_Y_JORNALES!$C$5:$C$16</definedName>
    <definedName name="T22JH">[1]BASE!$D$185</definedName>
    <definedName name="TABLILLA">[9]BASE!$D$396</definedName>
    <definedName name="TACOM1">[29]BASE!$D$306</definedName>
    <definedName name="TACOR">[4]BASE!$D$423</definedName>
    <definedName name="TAPAM">[1]BASE!$D$248</definedName>
    <definedName name="TASP2">[1]BASE!$D$231</definedName>
    <definedName name="TEJAJ">[1]BASE!$D$274</definedName>
    <definedName name="TGALV">[1]BASE!$D$256</definedName>
    <definedName name="TGRASA">[30]BASE!$D$280</definedName>
    <definedName name="TNOV10">[4]BASE!$D$186</definedName>
    <definedName name="TNOV12">[4]BASE!$D$187</definedName>
    <definedName name="TNOV16">[4]BASE!$D$188</definedName>
    <definedName name="TNOV18">[4]BASE!$D$189</definedName>
    <definedName name="TNOV20">[4]BASE!$D$190</definedName>
    <definedName name="TNOV8">[4]BASE!$D$185</definedName>
    <definedName name="TOTALOPTIM">[31]Hoja2!$E$11:$E$704</definedName>
    <definedName name="TOTALOPTIMIZACION">[31]Hoja2!$E$11:$E$704</definedName>
    <definedName name="TOTALREPOS">[31]Hoja2!$E$11:$E$704</definedName>
    <definedName name="TOTALREPOSICION">[31]Hoja2!$E$11:$E$704</definedName>
    <definedName name="TRAMP2">[1]BASE!$D$352</definedName>
    <definedName name="TRAMP3">[1]BASE!$D$353</definedName>
    <definedName name="TRANAG">[4]BASE!$D$448</definedName>
    <definedName name="TRANAR">[4]BASE!$D$444</definedName>
    <definedName name="TRANS">[4]BASE!$D$445</definedName>
    <definedName name="TRANSPORTE">[17]EQUIPOS_Y_TRANS_!$A$61:$A$67</definedName>
    <definedName name="TRITM">[4]BASE!$D$60</definedName>
    <definedName name="TRITU">[4]BASE!$D$54</definedName>
    <definedName name="TUB8AC">[32]BASE!$D$269</definedName>
    <definedName name="TUBS4">[1]BASE!$D$138</definedName>
    <definedName name="TUBS6">[4]BASE!$D$166</definedName>
    <definedName name="TUHD10">[4]BASE!$D$242</definedName>
    <definedName name="TUHD16">[4]BASE!$D$243</definedName>
    <definedName name="Var">[6]Varios_!$E$1:$E$65536</definedName>
    <definedName name="VCSB4">[18]BASE!$D$306</definedName>
    <definedName name="VIAJE">[4]BASE!$D$446</definedName>
    <definedName name="VIBGA">[4]BASE!$D$414</definedName>
    <definedName name="VIBRE">[4]BASE!$D$415</definedName>
    <definedName name="VVDA2">[18]BASE!$D$302</definedName>
    <definedName name="VVV">[9]BASE!$C$3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6" i="1" l="1"/>
  <c r="F217" i="1" l="1"/>
  <c r="F154" i="1"/>
  <c r="K154" i="1" s="1"/>
  <c r="F203" i="1"/>
  <c r="F222" i="1"/>
  <c r="F191" i="1" l="1"/>
  <c r="F68" i="1" l="1"/>
  <c r="F62" i="1"/>
  <c r="F78" i="1"/>
  <c r="F86" i="1"/>
  <c r="F114" i="1"/>
  <c r="F166" i="1"/>
  <c r="F97" i="1"/>
  <c r="J232" i="1" l="1"/>
  <c r="F218" i="1" l="1"/>
  <c r="F227" i="1" l="1"/>
  <c r="K227" i="1" s="1"/>
  <c r="K226" i="1" l="1"/>
  <c r="F102" i="1"/>
  <c r="F121" i="1" l="1"/>
  <c r="F123" i="1" s="1"/>
  <c r="F184" i="1" l="1"/>
  <c r="F169" i="1"/>
  <c r="F173" i="1"/>
  <c r="F230" i="1"/>
  <c r="F159" i="1"/>
  <c r="F231" i="1" l="1"/>
  <c r="F232" i="1" s="1"/>
  <c r="K232" i="1" s="1"/>
  <c r="F48" i="1"/>
  <c r="K48" i="1" s="1"/>
  <c r="K231" i="1" l="1"/>
  <c r="F185" i="1"/>
  <c r="F93" i="1"/>
  <c r="F139" i="1"/>
  <c r="F143" i="1" s="1"/>
  <c r="F160" i="1" s="1"/>
  <c r="K143" i="1" l="1"/>
  <c r="K184" i="1"/>
  <c r="K102" i="1"/>
  <c r="K97" i="1"/>
  <c r="K71" i="1"/>
  <c r="K62" i="1"/>
  <c r="K114" i="1" l="1"/>
  <c r="K217" i="1"/>
  <c r="K78" i="1" l="1"/>
  <c r="K159" i="1" l="1"/>
  <c r="K203" i="1" l="1"/>
  <c r="K218" i="1" l="1"/>
  <c r="K166" i="1"/>
  <c r="K185" i="1"/>
  <c r="F44" i="1" l="1"/>
  <c r="J33" i="1"/>
  <c r="F33" i="1"/>
  <c r="J15" i="1"/>
  <c r="F15" i="1"/>
  <c r="F118" i="1"/>
  <c r="K118" i="1" s="1"/>
  <c r="K93" i="1"/>
  <c r="K86" i="1"/>
  <c r="K68" i="1"/>
  <c r="F50" i="1"/>
  <c r="F59" i="1" s="1"/>
  <c r="F124" i="1" l="1"/>
  <c r="F233" i="1" s="1"/>
  <c r="K15" i="1"/>
  <c r="J44" i="1"/>
  <c r="K44" i="1" s="1"/>
  <c r="K33" i="1"/>
  <c r="K59" i="1" l="1"/>
  <c r="K124" i="1"/>
  <c r="K160" i="1"/>
</calcChain>
</file>

<file path=xl/sharedStrings.xml><?xml version="1.0" encoding="utf-8"?>
<sst xmlns="http://schemas.openxmlformats.org/spreadsheetml/2006/main" count="388" uniqueCount="235">
  <si>
    <t>ACTIVIDAD</t>
  </si>
  <si>
    <t>CANTIDAD PPTO V10</t>
  </si>
  <si>
    <t>CANTIDAD REAL</t>
  </si>
  <si>
    <t>VALOR  TOTAL PPTO V10</t>
  </si>
  <si>
    <t>VALOR TOTAL REAL</t>
  </si>
  <si>
    <t xml:space="preserve">CAJA MENOR </t>
  </si>
  <si>
    <t>CAJA MENOR PROYECTO PEREIRA JUNIO</t>
  </si>
  <si>
    <t>DISEÑOS Y ASESORIAS</t>
  </si>
  <si>
    <t>ANTICIPO DISEÑOS Y TRAMITES PARA EL PROYECTO PARQUE INDUSTRIAL DE PEREIRA</t>
  </si>
  <si>
    <t>Servicicios Técnico Topograficos</t>
  </si>
  <si>
    <t>Pago Trabajo de estudios y revisión de PTAR (Factura No. 533)</t>
  </si>
  <si>
    <t>Pago Factura No. 128 (ASESORÍA EN SISTEMAS DE PROTECCIÓN CONTRA INCENDIO PEREIRA)</t>
  </si>
  <si>
    <t>Pago Factura No. 142  (ASESORÍA EN SISTEMAS DE PROTECCIÓN CONTRA INCENDIO BODEGA  PEREIRA)</t>
  </si>
  <si>
    <t>HONORARIOS REVISIÓN Y ESTUDIO DE DOCUMENTO (CARTA DE COMPROMISO) PARA EL INVIAS</t>
  </si>
  <si>
    <t>Pago Factura No. 0202  (CONTRATO 004-2014, DISEÑO Y TRAMITES PROYECTO CENTRO LOGISTICO DE ALMACENAMIENTO Y DISTRIBUCIÓN PEREIRA)</t>
  </si>
  <si>
    <t>SONDEOS Y ENSAYOS DE LABORATORIO ESTUDIO DE SUELOS EN EL CENTRO LOGISTICO DE ALMACENAMIENTO Y DISTRIBUCION PEREIRA</t>
  </si>
  <si>
    <t>PAGO FACTURA 3596 RECOMENDACIONES DE CIMENTACIÓN EN EL CENTRO LOGISTICO DE ALMACENAMIENTO Y DISTRIBUCIÓN DE PEREIRA EN ESTA CIUDAD</t>
  </si>
  <si>
    <t>PAGO DE PRESTACIÓN DE SERVICIOS  (ASESORÍA PROFESIONAL PROYECTO CENTRO LOGISTICO Y DISTRIBUCIÓN DE PEREIRA)</t>
  </si>
  <si>
    <t>ESTUDIO DE SUELOS (PROYECTO  CENTRO LOGISTICO PEREIRA)</t>
  </si>
  <si>
    <t>Reembolso GASTOS DE OPER. (Papelería trámites PEREIRA):</t>
  </si>
  <si>
    <t>Pago Factura No. 318  (ASESORÍA EN SISTEMAS DE PROTECCIÓN CONTRA INCENDIO BODEGA  PEREIRA)</t>
  </si>
  <si>
    <t>PAGO FACTURA No090 electrico del proyecto</t>
  </si>
  <si>
    <t>ASESORIA CONTRATOS CONTRUCCION Y ORDENES DE COMPRA</t>
  </si>
  <si>
    <t>HONORARIOS ASESORIA LEGAL Y JURIDICA EN REGULACION LEGAL DE LA DISPOSICION DE EN AGUA LLUVIAS EN LOTES VECINOS</t>
  </si>
  <si>
    <t xml:space="preserve">     PRELIMINARES                                                                                                       </t>
  </si>
  <si>
    <t>Interventoria tecnica y de control presupuestal.Movimiento de tierras Centro Logistico y distribucion. Pereira</t>
  </si>
  <si>
    <t>TRAMITES E IMPUESTOS</t>
  </si>
  <si>
    <t>Permiso de Vertimiento, Permiso de ocupación de Cauce y Autorización para la disposición final de esconmbros descapote y escavación. (Proyecto PEREIRA)</t>
  </si>
  <si>
    <t>Permiso de uso de vias  para el proyecto centro logistico de almacenamiento y distribución pereira, contratado con el ingeniero Milton Hurtado</t>
  </si>
  <si>
    <t>FIJO Movimiento de Tierra</t>
  </si>
  <si>
    <t>APROBACIÓN DE PLANOS (No. 20490487)</t>
  </si>
  <si>
    <t xml:space="preserve">FIJO Inscripción en Curaduria Licencia de contrucción </t>
  </si>
  <si>
    <t xml:space="preserve"> Cuenta de cobro No 02 Tramites carder permiso corte arboles</t>
  </si>
  <si>
    <t xml:space="preserve"> TRÁMITES CARDER</t>
  </si>
  <si>
    <t>SEGUROS DE CONSTRUCCION Y CONTRA TERCEROS</t>
  </si>
  <si>
    <t xml:space="preserve"> FACTURA  00001  Cerramiento polisombra </t>
  </si>
  <si>
    <t xml:space="preserve"> Topografia pereira </t>
  </si>
  <si>
    <t>FATURA: 004 Acometida electrica, instalacion motobomba, tuberia 3 pulgadas y construcción cámara de inspeccion</t>
  </si>
  <si>
    <t>TALA DE ARBOLES</t>
  </si>
  <si>
    <t>Compra Madera</t>
  </si>
  <si>
    <t xml:space="preserve">COMPRA DE HERRAMIENTA PARA LA OBRA </t>
  </si>
  <si>
    <t xml:space="preserve"> UTENCILIOS OBRA </t>
  </si>
  <si>
    <t>compra de cascos, guantes</t>
  </si>
  <si>
    <t>Herramientas y materiales para el campamento</t>
  </si>
  <si>
    <t>TRABAJOS DE TOPOGRAFIA EN PEREIRA</t>
  </si>
  <si>
    <t xml:space="preserve">MULTI FUNC </t>
  </si>
  <si>
    <t>CAJON NEVERA</t>
  </si>
  <si>
    <t>Motobomba sumestible Y Motobomba a Gasolina</t>
  </si>
  <si>
    <t>Transformador 75 KYA</t>
  </si>
  <si>
    <t>CEMENTO</t>
  </si>
  <si>
    <t xml:space="preserve">MOV TIERRAS EXCAVACIONES Y RELLENOS                                                                                                      </t>
  </si>
  <si>
    <t>Geotextil</t>
  </si>
  <si>
    <t>769 MT2 transporte de sucio</t>
  </si>
  <si>
    <t>SUMINISTRO E INSTALACION TUBERIA NOVAGORT 27 IN AGUAS LLUVIAS.</t>
  </si>
  <si>
    <t>Tuberia</t>
  </si>
  <si>
    <t>CAJA MENOR PROYECTO PEREIRA FEBRERO</t>
  </si>
  <si>
    <t>CAJA MENOR PROYECTO PEREIRA JULIO 2</t>
  </si>
  <si>
    <t xml:space="preserve">CAJA MENOR PROYECTO PEREIRA JULIO </t>
  </si>
  <si>
    <t>REAL- PPTO V 10</t>
  </si>
  <si>
    <t>UD</t>
  </si>
  <si>
    <t>COMPRA DE DRYWALL , UTENCILIOS DE ASEO, BISAGRAS</t>
  </si>
  <si>
    <t>GLB</t>
  </si>
  <si>
    <t>ML</t>
  </si>
  <si>
    <t>DIA</t>
  </si>
  <si>
    <t>GL</t>
  </si>
  <si>
    <t>Empresa/Nit</t>
  </si>
  <si>
    <t>VIGENCIA DESDE</t>
  </si>
  <si>
    <t>VIGENCIA HASTA</t>
  </si>
  <si>
    <t>AMPAROS</t>
  </si>
  <si>
    <t>CUMPLIMIENTO</t>
  </si>
  <si>
    <t>ANTICIPO</t>
  </si>
  <si>
    <t>PAGO DE SALARIOS</t>
  </si>
  <si>
    <t>INGELMAU</t>
  </si>
  <si>
    <t>BUEN MANEJO DEL ANTICIPO</t>
  </si>
  <si>
    <t>CALIDAD DEL SUMINISTRO</t>
  </si>
  <si>
    <t>CUMPLIMIENTO DEL CONTRATO</t>
  </si>
  <si>
    <t>CONSTRUCTORA F Y H</t>
  </si>
  <si>
    <t>ACUASERVICIO</t>
  </si>
  <si>
    <t>CALIDAD DEL SERVICIO</t>
  </si>
  <si>
    <t>29/06/207</t>
  </si>
  <si>
    <t>CALIDAD DE SERVICIO</t>
  </si>
  <si>
    <t>SALARIO Y PRESTACIOM</t>
  </si>
  <si>
    <t>MANEJO DE ANTICIPOS</t>
  </si>
  <si>
    <t>SALARIO Y PRESTACIONES</t>
  </si>
  <si>
    <t>JORGE QUINTERO</t>
  </si>
  <si>
    <t>CARMELO ALVIS</t>
  </si>
  <si>
    <t>CMC LOGISTICA INGENIERIA Y PROYECTOS S.A.S - 900.304.151-4</t>
  </si>
  <si>
    <t>CONTROL DE POLIZAS</t>
  </si>
  <si>
    <t>CAJA MENOR PROYECTO PEREIRA AGOSTO</t>
  </si>
  <si>
    <t>PAGO FACTURA NO. 204808.</t>
  </si>
  <si>
    <t>FACTURA 1282: Por concepto de cilindro, cono slum y carrilla calibrada</t>
  </si>
  <si>
    <t>Trabajo topograficos en centro de operaciones Pereira</t>
  </si>
  <si>
    <t>Repuestos vibrador</t>
  </si>
  <si>
    <t>ACTA 02:MOVIMIENTO DE TIERRAS CENTRO LOGISTICO Y DISTRIBUCION PEREIRA</t>
  </si>
  <si>
    <t>ACTA 01:MOVIMIENTO DE TIERRAS CENTRO LOGISTICO Y DISTRIBUCION PEREIRA</t>
  </si>
  <si>
    <t>ACTA 03: MOVIMIENTO DE TIERRAS CENTRO LOGISTICO Y DISTRIBUCION PEREIRA</t>
  </si>
  <si>
    <t>Hierro ig 3/8" G60ntc 2289 Y Barra car 1/2" x 9m g-60 NTC2290</t>
  </si>
  <si>
    <t>ZAPATAS Y FUNDACIONES</t>
  </si>
  <si>
    <t>Apisionador tipo conguro Y Transporte</t>
  </si>
  <si>
    <t>UTENCILIOS OBRA</t>
  </si>
  <si>
    <t>Compra de Postes</t>
  </si>
  <si>
    <t>TOTAL</t>
  </si>
  <si>
    <t>M2</t>
  </si>
  <si>
    <t>UN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</si>
  <si>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</si>
  <si>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CAJA MENOR PROYECTO PEREIRA SEPTIEMBRE</t>
  </si>
  <si>
    <t>Localizacion, replanteo y nivelación a mano</t>
  </si>
  <si>
    <t>Campamento en guadua y teja de zinc con instalaciones provicionales (Of, Almacen y Baños)</t>
  </si>
  <si>
    <t>Cerramiento en Polipropileno H=2.10</t>
  </si>
  <si>
    <t>Comisión topográfica</t>
  </si>
  <si>
    <t>Valla informativa</t>
  </si>
  <si>
    <t>Permisos valla informativa</t>
  </si>
  <si>
    <t>SUBTOTAL</t>
  </si>
  <si>
    <t>Suministro e Instalacion provisional MH, conexcion, alquilermotobomba. Y tuberia 3 in.</t>
  </si>
  <si>
    <t>Instalación provisonal acueducto</t>
  </si>
  <si>
    <t>Instalación provisional Energia</t>
  </si>
  <si>
    <t>Acometida alumbrado</t>
  </si>
  <si>
    <t>Planos record de la obra (as-built)</t>
  </si>
  <si>
    <t xml:space="preserve">Suministro e Instalacion aire acondicionado oficinas ingeniero </t>
  </si>
  <si>
    <t xml:space="preserve">Dotacion Oficina </t>
  </si>
  <si>
    <t>MOV DE TIERRAS</t>
  </si>
  <si>
    <t>Obras adicionales ( Muro contencion, sustitucion, )</t>
  </si>
  <si>
    <t>CONTROL DE GASTOS Y PRESUPUESTOS</t>
  </si>
  <si>
    <t>CENTRO LOGISTICO Y DISTRIBUCION DE PEREIRA</t>
  </si>
  <si>
    <t>AREA TOTAL PROYECTO</t>
  </si>
  <si>
    <t>TOTAL DEL ITEM CAJA MENOR</t>
  </si>
  <si>
    <t>TOTAL DEL ITEM DISEÑO Y ASESORIA</t>
  </si>
  <si>
    <t>TOTAL DEL ITEM TRAMITES E IMPUESTOS</t>
  </si>
  <si>
    <t>ITEM CORRESPONDIENTE HA PPTO V10</t>
  </si>
  <si>
    <t>Cilindro prueba laboratorio 6/12, varrilla calibrada, cono slump</t>
  </si>
  <si>
    <t>POZO SEPTICO Y TANQUE CILINDROS</t>
  </si>
  <si>
    <t>SISO</t>
  </si>
  <si>
    <t>EQUIPOS Y HERRAMIENTAS</t>
  </si>
  <si>
    <t>ALQUILER DE EQUIPOS</t>
  </si>
  <si>
    <t xml:space="preserve">Ensayo proctor, ensayo compresion </t>
  </si>
  <si>
    <t>PAGO DE FACTURA: 348816 Y pago de factura: 348145 casa del bombillo</t>
  </si>
  <si>
    <t xml:space="preserve">Suministro tuberia novafort 27 in </t>
  </si>
  <si>
    <t>Construccion de Camaras en concreto , incluye tapa.</t>
  </si>
  <si>
    <t>Transporte sucio de rio</t>
  </si>
  <si>
    <t>M3</t>
  </si>
  <si>
    <t>Transporte arena y triturado</t>
  </si>
  <si>
    <t>Bloque estructural</t>
  </si>
  <si>
    <t xml:space="preserve">Geotextil </t>
  </si>
  <si>
    <t xml:space="preserve">Broncosil gris * 5 kilos </t>
  </si>
  <si>
    <t xml:space="preserve">Disco corte metal, cepillo acero </t>
  </si>
  <si>
    <t>Muestra de laboratorio</t>
  </si>
  <si>
    <t>Pilotes d= 0,30 . ( Incluye excavacion, refuerzo y fundicion)</t>
  </si>
  <si>
    <t>ZAPATAS COMPARTIDAS</t>
  </si>
  <si>
    <t>Varrilla acero 3/8 *6mt</t>
  </si>
  <si>
    <t>Alambre Galnirado C12</t>
  </si>
  <si>
    <t>Kilos</t>
  </si>
  <si>
    <t>Ensayos Proctor</t>
  </si>
  <si>
    <t>Apisionador</t>
  </si>
  <si>
    <t>Alquiler broca plus 5/8</t>
  </si>
  <si>
    <t>Palin hoyador</t>
  </si>
  <si>
    <t>TOTAL ITEM PRELIMINARES</t>
  </si>
  <si>
    <t xml:space="preserve">TOTAL MOV TIERRAS EXCAVACIONES Y RELLENOS </t>
  </si>
  <si>
    <t>TOTAL SUMINISTRO E INSTALACION TUBERIA NOVAGORT 27 IN AGUAS LLUVIAS.</t>
  </si>
  <si>
    <t>TOTAL ZAPATAS Y FUNDACIONES</t>
  </si>
  <si>
    <t>MILLAN</t>
  </si>
  <si>
    <t>21/09/22016</t>
  </si>
  <si>
    <t>MOVICON</t>
  </si>
  <si>
    <t xml:space="preserve">Comprension </t>
  </si>
  <si>
    <t>Hiero 3/8 660 mts</t>
  </si>
  <si>
    <t>KG</t>
  </si>
  <si>
    <t>70 M concreto de 24,5</t>
  </si>
  <si>
    <t>m3</t>
  </si>
  <si>
    <t>puntilla</t>
  </si>
  <si>
    <t>lb</t>
  </si>
  <si>
    <t xml:space="preserve">UN </t>
  </si>
  <si>
    <t>Tablero 70*14</t>
  </si>
  <si>
    <t>Alquiler taladro y transporte</t>
  </si>
  <si>
    <t>Guantes, cintas</t>
  </si>
  <si>
    <t>Cuartones, tablas</t>
  </si>
  <si>
    <t>Levantamiento topografico</t>
  </si>
  <si>
    <t>Dias</t>
  </si>
  <si>
    <t>Alambre negro</t>
  </si>
  <si>
    <t>Constructora FYH</t>
  </si>
  <si>
    <t>Interventoria movimiento de tierras</t>
  </si>
  <si>
    <t>|</t>
  </si>
  <si>
    <t>Interventoria de obra y siso</t>
  </si>
  <si>
    <t xml:space="preserve">FATURA: 005 contrato de interventoria de obra en el centro logistico de pereira fecha de pago primer quincena del 1 de agosto al 30 de agosto </t>
  </si>
  <si>
    <t xml:space="preserve">FATURA: 005 contrato de interventoria de obra en el centro logistico de pereira fecha de pago primer quincena del 1 de septiembre al 30 de octubre </t>
  </si>
  <si>
    <t>Dia</t>
  </si>
  <si>
    <t>ACTA  01:instalacion tuberia 27" mano de obra campamento (58%)</t>
  </si>
  <si>
    <t>ACTA  01:instalacion tuberia 27" mano de obra campamento  18%</t>
  </si>
  <si>
    <t>alambre y refuerzo 65%</t>
  </si>
  <si>
    <t>alambre y refuerzo 35%</t>
  </si>
  <si>
    <t>ACTA  02:instalacion tuberia 27" mano de obra campamento 40%</t>
  </si>
  <si>
    <t>ACTA  02:instalacion tuberia 27" mano de obra campamento 60%</t>
  </si>
  <si>
    <t>jorge acta  03:construccion box curvet,  mano de obra campamento y piscina de cilindros 58%</t>
  </si>
  <si>
    <t>Canal (box culvert)</t>
  </si>
  <si>
    <t>jorge acta  03:construccion box curvet,  mano de obra campamento y piscina de cilindros  17%</t>
  </si>
  <si>
    <t>jorge acta  03:construccion box curvet,  mano de obra campamento y piscina de cilindros  25%</t>
  </si>
  <si>
    <t>VIGILANCIA</t>
  </si>
  <si>
    <t xml:space="preserve">Vigilancia mes agosto a septiembre </t>
  </si>
  <si>
    <t xml:space="preserve">jorge acta  04:construccion box curvet,  mano de obra campamento y piscina de cilindros  </t>
  </si>
  <si>
    <t>Vigilancia mes septiembre a octubre 18%</t>
  </si>
  <si>
    <t>jorge acta  05:construccion box curvet,  mano de obra campamento y piscina de cilindros  28%</t>
  </si>
  <si>
    <t>jorge acta  05:construccion box curvet,  mano de obra campamento y piscina de cilindros  53%</t>
  </si>
  <si>
    <t>Muro Perimetral ZONA CARGUE - DESCARGUE</t>
  </si>
  <si>
    <t>Tubo corrugado 6"</t>
  </si>
  <si>
    <t>Arnes, Eslinga , papeñleria</t>
  </si>
  <si>
    <t>ACTA:05 MOVIMIENTO DE TIERRAS CENTRO LOGISTICO Y DISTRIBUCION PEREIRA</t>
  </si>
  <si>
    <t>ACTA:04 MOVIMIENTO DE TIERRAS CENTRO LOGISTICO Y DISTRIBUCION PEREIRA</t>
  </si>
  <si>
    <t>ACTA:06 MOVIMIENTO DE TIERRAS CENTRO LOGISTICO Y DISTRIBUCION PEREIRA</t>
  </si>
  <si>
    <t>ACTA:07 MOVIMIENTO DE TIERRAS CENTRO LOGISTICO Y DISTRIBUCION PEREIRA</t>
  </si>
  <si>
    <t>ESTRUCTURA METALICA (IVA16% sobre 5% de Utilidad)</t>
  </si>
  <si>
    <t>Diseño, suministro, e fabricacion y montaje est metalica</t>
  </si>
  <si>
    <t>TOTAL ESTRUCTURA METALICA (IVA16% sobre 5% de Utilidad)</t>
  </si>
  <si>
    <t>TOTAL Interventoria de obra y siso</t>
  </si>
  <si>
    <t>CONCRETADORA Y VIBRADOR</t>
  </si>
  <si>
    <t>Varrillas, tablas, listones y acarreos</t>
  </si>
  <si>
    <t>UND</t>
  </si>
  <si>
    <t>Cemento Cemex 50KG</t>
  </si>
  <si>
    <t>Acero de Refuerzo 1/2</t>
  </si>
  <si>
    <t>Hierro y Alambre</t>
  </si>
  <si>
    <t>Conexión electrica</t>
  </si>
  <si>
    <t xml:space="preserve">Alquiler concretadora y suministro ACPM </t>
  </si>
  <si>
    <t xml:space="preserve">Herramientas y materiales </t>
  </si>
  <si>
    <t xml:space="preserve">Mano de obra excavación y llenos tuberia novafor 27 ¨¨ </t>
  </si>
  <si>
    <t>LISTONES, CUARTONES, canes</t>
  </si>
  <si>
    <t>Obras Contractuales acta 2 , clarck</t>
  </si>
  <si>
    <t>Obras Contractuales acta 1 , clarck</t>
  </si>
  <si>
    <t>Anticipo concreto.</t>
  </si>
  <si>
    <t xml:space="preserve">jorge acta  1A:construccion box curvet,  mano de obra campamento y piscina de cilindros  </t>
  </si>
  <si>
    <t>Vigilancia mes octubre</t>
  </si>
  <si>
    <t>Transporte de trivado y transpote de arena</t>
  </si>
  <si>
    <t>VIA DE ACCESO</t>
  </si>
  <si>
    <t>VIAS ACCESO (De la ppal hastala Porteria)</t>
  </si>
  <si>
    <t>Transpote de sucio</t>
  </si>
  <si>
    <t>Diseño hidraulico por peso de dos agregadoy servicio de transpote</t>
  </si>
  <si>
    <t>Comprension incofinada cargada y fallada y servicio de transporte</t>
  </si>
  <si>
    <t>Union sanitaria 2"</t>
  </si>
  <si>
    <t>Politileno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</si>
</sst>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 &quot;#,##0.00&quot;   &quot;;&quot;-&quot;#,##0.00&quot;   &quot;;&quot; -&quot;00&quot;   &quot;;&quot; &quot;@&quot; &quot;"/>
    <numFmt numFmtId="165" formatCode="&quot; $&quot;#,##0&quot; &quot;;&quot;-$&quot;#,##0&quot; &quot;;&quot; $- &quot;;&quot; &quot;@&quot; &quot;"/>
    <numFmt numFmtId="166" formatCode="0.0"/>
    <numFmt numFmtId="167" formatCode="_-[$$-240A]\ * #,##0.00_ ;_-[$$-240A]\ * \-#,##0.00\ ;_-[$$-240A]\ * &quot;-&quot;??_ ;_-@_ "/>
    <numFmt numFmtId="168" formatCode="[$$-240A]#,##0"/>
    <numFmt numFmtId="169" formatCode="_-[$$-240A]* #,##0.00_-;\-[$$-240A]* #,##0.00_-;_-[$$-240A]* &quot;-&quot;??_-;_-@_-"/>
    <numFmt numFmtId="170" formatCode="_-[$$-240A]* #,##0_-;\-[$$-240A]* #,##0_-;_-[$$-240A]* &quot;-&quot;??_-;_-@_-"/>
    <numFmt numFmtId="171" formatCode="&quot; &quot;#,##0.00&quot;   &quot;;&quot;-&quot;#,##0.00&quot;   &quot;;&quot; -&quot;00.00&quot;   &quot;;&quot; &quot;@&quot; &quot;"/>
    <numFmt numFmtId="172" formatCode="_-[$$-240A]\ * #,##0_ ;_-[$$-240A]\ * \-#,##0\ ;_-[$$-240A]\ * &quot;-&quot;??_ ;_-@_ "/>
  </numFmts>
  <fonts count="3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4"/>
      <color rgb="FF000000"/>
      <name val="Calibri"/>
      <family val="2"/>
    </font>
    <font>
      <sz val="16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6"/>
      <color theme="0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name val="Calibri"/>
      <family val="2"/>
      <scheme val="minor"/>
    </font>
    <font>
      <sz val="16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2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8"/>
      <name val="Calibri"/>
      <family val="2"/>
      <scheme val="minor"/>
    </font>
    <font>
      <sz val="1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6"/>
      <name val="Arial"/>
      <family val="2"/>
    </font>
    <font>
      <sz val="8"/>
      <color theme="1"/>
      <name val="Calibri"/>
      <family val="2"/>
      <scheme val="minor"/>
    </font>
    <font>
      <b/>
      <sz val="18"/>
      <color theme="6" tint="-0.499984740745262"/>
      <name val="Calibri"/>
      <family val="2"/>
      <scheme val="minor"/>
    </font>
    <font>
      <b/>
      <sz val="16"/>
      <color theme="6" tint="-0.499984740745262"/>
      <name val="Calibri"/>
      <family val="2"/>
      <scheme val="minor"/>
    </font>
    <font>
      <b/>
      <sz val="16"/>
      <color rgb="FF415D3F"/>
      <name val="Calibri"/>
      <family val="2"/>
      <scheme val="minor"/>
    </font>
    <font>
      <sz val="18"/>
      <color theme="6"/>
      <name val="Calibri"/>
      <family val="2"/>
      <scheme val="minor"/>
    </font>
    <font>
      <sz val="11"/>
      <color rgb="FF389B01"/>
      <name val="Calibri"/>
      <family val="2"/>
      <scheme val="minor"/>
    </font>
    <font>
      <b/>
      <sz val="16"/>
      <color rgb="FF389B0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7030A0"/>
        <bgColor rgb="FF7030A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1"/>
        <bgColor rgb="FFD75B7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BFBFB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DC7814"/>
      </patternFill>
    </fill>
    <fill>
      <patternFill patternType="solid">
        <fgColor theme="9" tint="-0.249977111117893"/>
        <bgColor rgb="FFBFBFBF"/>
      </patternFill>
    </fill>
    <fill>
      <patternFill patternType="solid">
        <fgColor rgb="FF00B0F0"/>
        <bgColor rgb="FFBFBFBF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BFBFBF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0" tint="-0.34998626667073579"/>
        <bgColor rgb="FFFFFFFF"/>
      </patternFill>
    </fill>
    <fill>
      <patternFill patternType="solid">
        <fgColor rgb="FFFFFF00"/>
        <bgColor rgb="FFBFBFB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BFBFBF"/>
      </patternFill>
    </fill>
    <fill>
      <patternFill patternType="solid">
        <fgColor rgb="FFFF66FF"/>
        <bgColor indexed="64"/>
      </patternFill>
    </fill>
    <fill>
      <patternFill patternType="solid">
        <fgColor rgb="FFFF66FF"/>
        <bgColor rgb="FFBFBFBF"/>
      </patternFill>
    </fill>
    <fill>
      <patternFill patternType="solid">
        <fgColor rgb="FF389B01"/>
        <bgColor indexed="64"/>
      </patternFill>
    </fill>
    <fill>
      <patternFill patternType="solid">
        <fgColor rgb="FF389B01"/>
        <bgColor rgb="FFBFBFBF"/>
      </patternFill>
    </fill>
    <fill>
      <patternFill patternType="solid">
        <fgColor theme="1"/>
        <bgColor rgb="FFFFFFFF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249977111117893"/>
        <bgColor rgb="FFFFFFFF"/>
      </patternFill>
    </fill>
    <fill>
      <patternFill patternType="solid">
        <fgColor theme="7" tint="-0.249977111117893"/>
        <bgColor rgb="FFD75B70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rgb="FFFFFFFF"/>
      </patternFill>
    </fill>
    <fill>
      <patternFill patternType="solid">
        <fgColor rgb="FF99CCFF"/>
        <bgColor rgb="FFD75B70"/>
      </patternFill>
    </fill>
    <fill>
      <patternFill patternType="solid">
        <fgColor theme="0"/>
        <bgColor rgb="FFD75B7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3" fillId="0" borderId="0" applyNumberFormat="0" applyBorder="0" applyProtection="0"/>
    <xf numFmtId="0" fontId="3" fillId="0" borderId="0" applyNumberFormat="0" applyBorder="0" applyProtection="0"/>
  </cellStyleXfs>
  <cellXfs count="368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5" applyFont="1" applyBorder="1" applyAlignment="1">
      <alignment horizontal="center" vertical="center" wrapText="1"/>
    </xf>
    <xf numFmtId="14" fontId="9" fillId="0" borderId="1" xfId="5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68" fontId="0" fillId="0" borderId="0" xfId="0" applyNumberForma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11" fillId="15" borderId="1" xfId="6" applyFont="1" applyFill="1" applyBorder="1" applyAlignment="1">
      <alignment horizontal="left" vertical="top" wrapText="1"/>
    </xf>
    <xf numFmtId="0" fontId="21" fillId="0" borderId="0" xfId="0" applyFont="1" applyAlignment="1">
      <alignment horizontal="center" vertical="center"/>
    </xf>
    <xf numFmtId="168" fontId="6" fillId="0" borderId="3" xfId="0" applyNumberFormat="1" applyFont="1" applyBorder="1" applyAlignment="1">
      <alignment horizontal="right" vertical="center"/>
    </xf>
    <xf numFmtId="0" fontId="20" fillId="0" borderId="0" xfId="0" applyFont="1" applyAlignment="1">
      <alignment horizontal="center" vertical="center"/>
    </xf>
    <xf numFmtId="168" fontId="20" fillId="0" borderId="0" xfId="0" applyNumberFormat="1" applyFont="1" applyAlignment="1">
      <alignment horizontal="right" vertical="center"/>
    </xf>
    <xf numFmtId="0" fontId="11" fillId="15" borderId="2" xfId="6" applyFont="1" applyFill="1" applyBorder="1" applyAlignment="1">
      <alignment horizontal="left" vertical="top" wrapText="1"/>
    </xf>
    <xf numFmtId="164" fontId="6" fillId="0" borderId="1" xfId="1" applyFont="1" applyFill="1" applyBorder="1" applyAlignment="1">
      <alignment horizontal="center" vertical="top"/>
    </xf>
    <xf numFmtId="2" fontId="6" fillId="15" borderId="5" xfId="6" applyNumberFormat="1" applyFont="1" applyFill="1" applyBorder="1" applyAlignment="1">
      <alignment horizontal="center" vertical="top" wrapText="1"/>
    </xf>
    <xf numFmtId="0" fontId="5" fillId="2" borderId="1" xfId="6" applyFont="1" applyFill="1" applyBorder="1" applyAlignment="1">
      <alignment horizontal="left" vertical="top" wrapText="1"/>
    </xf>
    <xf numFmtId="2" fontId="6" fillId="21" borderId="7" xfId="6" applyNumberFormat="1" applyFont="1" applyFill="1" applyBorder="1" applyAlignment="1">
      <alignment horizontal="left" vertical="top"/>
    </xf>
    <xf numFmtId="0" fontId="20" fillId="0" borderId="2" xfId="0" applyFont="1" applyBorder="1" applyAlignment="1">
      <alignment horizontal="left" vertical="top"/>
    </xf>
    <xf numFmtId="164" fontId="5" fillId="2" borderId="2" xfId="1" applyFont="1" applyFill="1" applyBorder="1" applyAlignment="1">
      <alignment horizontal="left" vertical="top"/>
    </xf>
    <xf numFmtId="164" fontId="5" fillId="2" borderId="1" xfId="1" applyFont="1" applyFill="1" applyBorder="1" applyAlignment="1">
      <alignment horizontal="left" vertical="top"/>
    </xf>
    <xf numFmtId="164" fontId="5" fillId="2" borderId="5" xfId="1" applyFont="1" applyFill="1" applyBorder="1" applyAlignment="1">
      <alignment horizontal="left" vertical="top"/>
    </xf>
    <xf numFmtId="2" fontId="5" fillId="0" borderId="1" xfId="6" applyNumberFormat="1" applyFont="1" applyBorder="1" applyAlignment="1">
      <alignment horizontal="left" vertical="top"/>
    </xf>
    <xf numFmtId="2" fontId="5" fillId="0" borderId="5" xfId="6" applyNumberFormat="1" applyFont="1" applyBorder="1" applyAlignment="1">
      <alignment horizontal="left" vertical="top"/>
    </xf>
    <xf numFmtId="2" fontId="5" fillId="0" borderId="2" xfId="6" applyNumberFormat="1" applyFont="1" applyBorder="1" applyAlignment="1">
      <alignment horizontal="left" vertical="top"/>
    </xf>
    <xf numFmtId="171" fontId="5" fillId="11" borderId="1" xfId="1" applyNumberFormat="1" applyFont="1" applyFill="1" applyBorder="1" applyAlignment="1">
      <alignment horizontal="left" vertical="top"/>
    </xf>
    <xf numFmtId="2" fontId="5" fillId="8" borderId="1" xfId="6" applyNumberFormat="1" applyFont="1" applyFill="1" applyBorder="1" applyAlignment="1">
      <alignment horizontal="left" vertical="top"/>
    </xf>
    <xf numFmtId="164" fontId="5" fillId="11" borderId="1" xfId="1" applyFont="1" applyFill="1" applyBorder="1" applyAlignment="1">
      <alignment horizontal="left" vertical="top"/>
    </xf>
    <xf numFmtId="171" fontId="17" fillId="0" borderId="1" xfId="1" applyNumberFormat="1" applyFont="1" applyFill="1" applyBorder="1" applyAlignment="1">
      <alignment horizontal="left" vertical="top"/>
    </xf>
    <xf numFmtId="171" fontId="5" fillId="0" borderId="1" xfId="1" applyNumberFormat="1" applyFont="1" applyFill="1" applyBorder="1" applyAlignment="1">
      <alignment horizontal="left" vertical="top"/>
    </xf>
    <xf numFmtId="164" fontId="5" fillId="0" borderId="1" xfId="1" applyFont="1" applyFill="1" applyBorder="1" applyAlignment="1">
      <alignment horizontal="left" vertical="top"/>
    </xf>
    <xf numFmtId="164" fontId="5" fillId="0" borderId="1" xfId="1" applyFont="1" applyFill="1" applyBorder="1" applyAlignment="1">
      <alignment horizontal="left" vertical="top" wrapText="1"/>
    </xf>
    <xf numFmtId="164" fontId="10" fillId="17" borderId="1" xfId="1" applyFont="1" applyFill="1" applyBorder="1" applyAlignment="1">
      <alignment horizontal="left" vertical="top" wrapText="1"/>
    </xf>
    <xf numFmtId="171" fontId="5" fillId="2" borderId="1" xfId="1" applyNumberFormat="1" applyFont="1" applyFill="1" applyBorder="1" applyAlignment="1">
      <alignment horizontal="left" vertical="top"/>
    </xf>
    <xf numFmtId="0" fontId="11" fillId="18" borderId="1" xfId="6" applyFont="1" applyFill="1" applyBorder="1" applyAlignment="1">
      <alignment horizontal="left" vertical="top" wrapText="1"/>
    </xf>
    <xf numFmtId="164" fontId="10" fillId="26" borderId="5" xfId="1" applyFont="1" applyFill="1" applyBorder="1" applyAlignment="1">
      <alignment horizontal="left" vertical="top"/>
    </xf>
    <xf numFmtId="0" fontId="11" fillId="18" borderId="2" xfId="6" applyFont="1" applyFill="1" applyBorder="1" applyAlignment="1">
      <alignment horizontal="left" vertical="top" wrapText="1"/>
    </xf>
    <xf numFmtId="164" fontId="10" fillId="26" borderId="1" xfId="1" applyFont="1" applyFill="1" applyBorder="1" applyAlignment="1">
      <alignment horizontal="left" vertical="top"/>
    </xf>
    <xf numFmtId="2" fontId="14" fillId="8" borderId="1" xfId="6" applyNumberFormat="1" applyFont="1" applyFill="1" applyBorder="1" applyAlignment="1">
      <alignment horizontal="left" vertical="top"/>
    </xf>
    <xf numFmtId="2" fontId="17" fillId="8" borderId="1" xfId="6" applyNumberFormat="1" applyFont="1" applyFill="1" applyBorder="1" applyAlignment="1">
      <alignment horizontal="left" vertical="top"/>
    </xf>
    <xf numFmtId="168" fontId="5" fillId="8" borderId="1" xfId="0" applyNumberFormat="1" applyFont="1" applyFill="1" applyBorder="1" applyAlignment="1">
      <alignment horizontal="left" vertical="top"/>
    </xf>
    <xf numFmtId="170" fontId="5" fillId="2" borderId="5" xfId="6" applyNumberFormat="1" applyFont="1" applyFill="1" applyBorder="1" applyAlignment="1">
      <alignment horizontal="left" vertical="top" wrapText="1"/>
    </xf>
    <xf numFmtId="0" fontId="16" fillId="9" borderId="1" xfId="6" applyFont="1" applyFill="1" applyBorder="1" applyAlignment="1">
      <alignment horizontal="left" vertical="top"/>
    </xf>
    <xf numFmtId="2" fontId="5" fillId="16" borderId="5" xfId="6" applyNumberFormat="1" applyFont="1" applyFill="1" applyBorder="1" applyAlignment="1">
      <alignment horizontal="left" vertical="top"/>
    </xf>
    <xf numFmtId="2" fontId="6" fillId="22" borderId="7" xfId="6" applyNumberFormat="1" applyFont="1" applyFill="1" applyBorder="1" applyAlignment="1">
      <alignment horizontal="left" vertical="top"/>
    </xf>
    <xf numFmtId="2" fontId="6" fillId="24" borderId="7" xfId="6" applyNumberFormat="1" applyFont="1" applyFill="1" applyBorder="1" applyAlignment="1">
      <alignment horizontal="left" vertical="top"/>
    </xf>
    <xf numFmtId="2" fontId="13" fillId="14" borderId="7" xfId="6" applyNumberFormat="1" applyFont="1" applyFill="1" applyBorder="1" applyAlignment="1">
      <alignment horizontal="left" vertical="top"/>
    </xf>
    <xf numFmtId="2" fontId="6" fillId="16" borderId="5" xfId="6" applyNumberFormat="1" applyFont="1" applyFill="1" applyBorder="1" applyAlignment="1">
      <alignment horizontal="left" vertical="top"/>
    </xf>
    <xf numFmtId="2" fontId="6" fillId="27" borderId="7" xfId="6" applyNumberFormat="1" applyFont="1" applyFill="1" applyBorder="1" applyAlignment="1">
      <alignment horizontal="left" vertical="top"/>
    </xf>
    <xf numFmtId="2" fontId="11" fillId="29" borderId="7" xfId="6" applyNumberFormat="1" applyFont="1" applyFill="1" applyBorder="1" applyAlignment="1">
      <alignment horizontal="left" vertical="top"/>
    </xf>
    <xf numFmtId="0" fontId="16" fillId="9" borderId="7" xfId="6" applyFont="1" applyFill="1" applyBorder="1" applyAlignment="1">
      <alignment horizontal="left" vertical="top"/>
    </xf>
    <xf numFmtId="170" fontId="6" fillId="31" borderId="7" xfId="6" applyNumberFormat="1" applyFont="1" applyFill="1" applyBorder="1" applyAlignment="1">
      <alignment horizontal="left" vertical="top"/>
    </xf>
    <xf numFmtId="0" fontId="5" fillId="2" borderId="0" xfId="0" applyFont="1" applyFill="1" applyAlignment="1">
      <alignment horizontal="left" vertical="top" wrapText="1"/>
    </xf>
    <xf numFmtId="164" fontId="5" fillId="11" borderId="0" xfId="1" applyFont="1" applyFill="1" applyBorder="1" applyAlignment="1">
      <alignment horizontal="left" vertical="top"/>
    </xf>
    <xf numFmtId="170" fontId="5" fillId="0" borderId="0" xfId="0" applyNumberFormat="1" applyFont="1" applyAlignment="1">
      <alignment horizontal="left" vertical="top"/>
    </xf>
    <xf numFmtId="172" fontId="30" fillId="0" borderId="0" xfId="0" applyNumberFormat="1" applyFont="1" applyAlignment="1">
      <alignment horizontal="left" vertical="top" wrapText="1"/>
    </xf>
    <xf numFmtId="0" fontId="6" fillId="15" borderId="5" xfId="6" applyFont="1" applyFill="1" applyBorder="1" applyAlignment="1">
      <alignment horizontal="center" vertical="center" wrapText="1"/>
    </xf>
    <xf numFmtId="2" fontId="6" fillId="21" borderId="7" xfId="6" applyNumberFormat="1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2" fontId="6" fillId="22" borderId="7" xfId="6" applyNumberFormat="1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2" fontId="6" fillId="24" borderId="7" xfId="6" applyNumberFormat="1" applyFont="1" applyFill="1" applyBorder="1" applyAlignment="1">
      <alignment horizontal="left" vertical="center"/>
    </xf>
    <xf numFmtId="2" fontId="13" fillId="14" borderId="7" xfId="6" applyNumberFormat="1" applyFont="1" applyFill="1" applyBorder="1" applyAlignment="1">
      <alignment horizontal="left" vertical="center"/>
    </xf>
    <xf numFmtId="0" fontId="11" fillId="15" borderId="1" xfId="6" applyFont="1" applyFill="1" applyBorder="1" applyAlignment="1">
      <alignment horizontal="left" vertical="center" wrapText="1"/>
    </xf>
    <xf numFmtId="0" fontId="5" fillId="8" borderId="1" xfId="6" applyFont="1" applyFill="1" applyBorder="1" applyAlignment="1">
      <alignment horizontal="left" vertical="center" wrapText="1"/>
    </xf>
    <xf numFmtId="0" fontId="5" fillId="0" borderId="1" xfId="6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7" fillId="11" borderId="1" xfId="6" applyFont="1" applyFill="1" applyBorder="1" applyAlignment="1">
      <alignment horizontal="left" vertical="center" wrapText="1"/>
    </xf>
    <xf numFmtId="0" fontId="5" fillId="11" borderId="1" xfId="6" applyFont="1" applyFill="1" applyBorder="1" applyAlignment="1">
      <alignment horizontal="left" vertical="center" wrapText="1"/>
    </xf>
    <xf numFmtId="2" fontId="6" fillId="27" borderId="7" xfId="6" applyNumberFormat="1" applyFont="1" applyFill="1" applyBorder="1" applyAlignment="1">
      <alignment horizontal="left" vertical="center"/>
    </xf>
    <xf numFmtId="0" fontId="11" fillId="15" borderId="2" xfId="6" applyFont="1" applyFill="1" applyBorder="1" applyAlignment="1">
      <alignment horizontal="left" vertical="center" wrapText="1"/>
    </xf>
    <xf numFmtId="0" fontId="21" fillId="0" borderId="5" xfId="0" applyFont="1" applyBorder="1" applyAlignment="1">
      <alignment horizontal="left" vertical="center"/>
    </xf>
    <xf numFmtId="2" fontId="11" fillId="29" borderId="7" xfId="6" applyNumberFormat="1" applyFont="1" applyFill="1" applyBorder="1" applyAlignment="1">
      <alignment horizontal="left" vertical="center"/>
    </xf>
    <xf numFmtId="168" fontId="5" fillId="8" borderId="1" xfId="0" applyNumberFormat="1" applyFont="1" applyFill="1" applyBorder="1" applyAlignment="1">
      <alignment horizontal="left" vertical="center"/>
    </xf>
    <xf numFmtId="170" fontId="5" fillId="2" borderId="5" xfId="6" applyNumberFormat="1" applyFont="1" applyFill="1" applyBorder="1" applyAlignment="1">
      <alignment horizontal="left" vertical="center" wrapText="1"/>
    </xf>
    <xf numFmtId="170" fontId="6" fillId="31" borderId="7" xfId="6" applyNumberFormat="1" applyFont="1" applyFill="1" applyBorder="1" applyAlignment="1">
      <alignment horizontal="left" vertical="center"/>
    </xf>
    <xf numFmtId="0" fontId="5" fillId="2" borderId="1" xfId="6" applyFont="1" applyFill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/>
    </xf>
    <xf numFmtId="0" fontId="20" fillId="19" borderId="7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16" borderId="5" xfId="0" applyFont="1" applyFill="1" applyBorder="1" applyAlignment="1">
      <alignment horizontal="center" vertical="center"/>
    </xf>
    <xf numFmtId="0" fontId="20" fillId="12" borderId="7" xfId="0" applyFont="1" applyFill="1" applyBorder="1" applyAlignment="1">
      <alignment horizontal="center" vertical="center"/>
    </xf>
    <xf numFmtId="0" fontId="20" fillId="23" borderId="7" xfId="0" applyFont="1" applyFill="1" applyBorder="1" applyAlignment="1">
      <alignment horizontal="center" vertical="center"/>
    </xf>
    <xf numFmtId="0" fontId="20" fillId="13" borderId="7" xfId="0" applyFont="1" applyFill="1" applyBorder="1" applyAlignment="1">
      <alignment horizontal="center" vertical="center"/>
    </xf>
    <xf numFmtId="2" fontId="6" fillId="15" borderId="2" xfId="0" applyNumberFormat="1" applyFont="1" applyFill="1" applyBorder="1" applyAlignment="1">
      <alignment horizontal="center" vertical="center"/>
    </xf>
    <xf numFmtId="2" fontId="6" fillId="15" borderId="1" xfId="0" applyNumberFormat="1" applyFont="1" applyFill="1" applyBorder="1" applyAlignment="1">
      <alignment horizontal="center" vertical="center"/>
    </xf>
    <xf numFmtId="2" fontId="20" fillId="0" borderId="1" xfId="0" applyNumberFormat="1" applyFont="1" applyBorder="1" applyAlignment="1">
      <alignment horizontal="center" vertical="center"/>
    </xf>
    <xf numFmtId="2" fontId="20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11" fillId="15" borderId="1" xfId="6" applyNumberFormat="1" applyFont="1" applyFill="1" applyBorder="1" applyAlignment="1">
      <alignment horizontal="center" vertical="center" wrapText="1"/>
    </xf>
    <xf numFmtId="2" fontId="20" fillId="8" borderId="1" xfId="0" applyNumberFormat="1" applyFont="1" applyFill="1" applyBorder="1" applyAlignment="1">
      <alignment horizontal="center" vertical="center"/>
    </xf>
    <xf numFmtId="2" fontId="20" fillId="8" borderId="5" xfId="0" applyNumberFormat="1" applyFont="1" applyFill="1" applyBorder="1" applyAlignment="1">
      <alignment horizontal="center" vertical="center"/>
    </xf>
    <xf numFmtId="0" fontId="20" fillId="10" borderId="7" xfId="0" applyFont="1" applyFill="1" applyBorder="1" applyAlignment="1">
      <alignment horizontal="center" vertical="center"/>
    </xf>
    <xf numFmtId="2" fontId="11" fillId="15" borderId="2" xfId="6" applyNumberFormat="1" applyFont="1" applyFill="1" applyBorder="1" applyAlignment="1">
      <alignment horizontal="center" vertical="center" wrapText="1"/>
    </xf>
    <xf numFmtId="2" fontId="20" fillId="0" borderId="5" xfId="0" applyNumberFormat="1" applyFont="1" applyBorder="1" applyAlignment="1">
      <alignment horizontal="center" vertical="center"/>
    </xf>
    <xf numFmtId="0" fontId="23" fillId="28" borderId="7" xfId="0" applyFont="1" applyFill="1" applyBorder="1" applyAlignment="1">
      <alignment horizontal="center" vertical="center"/>
    </xf>
    <xf numFmtId="2" fontId="5" fillId="8" borderId="1" xfId="0" applyNumberFormat="1" applyFont="1" applyFill="1" applyBorder="1" applyAlignment="1">
      <alignment horizontal="center" vertical="center"/>
    </xf>
    <xf numFmtId="2" fontId="5" fillId="8" borderId="5" xfId="0" applyNumberFormat="1" applyFont="1" applyFill="1" applyBorder="1" applyAlignment="1">
      <alignment horizontal="center" vertical="center"/>
    </xf>
    <xf numFmtId="0" fontId="20" fillId="30" borderId="7" xfId="0" applyFont="1" applyFill="1" applyBorder="1" applyAlignment="1">
      <alignment horizontal="center" vertical="center"/>
    </xf>
    <xf numFmtId="2" fontId="21" fillId="0" borderId="2" xfId="0" applyNumberFormat="1" applyFont="1" applyBorder="1" applyAlignment="1">
      <alignment horizontal="center" vertical="center"/>
    </xf>
    <xf numFmtId="0" fontId="20" fillId="19" borderId="6" xfId="0" applyFont="1" applyFill="1" applyBorder="1" applyAlignment="1">
      <alignment horizontal="center" vertical="center"/>
    </xf>
    <xf numFmtId="0" fontId="20" fillId="12" borderId="6" xfId="0" applyFont="1" applyFill="1" applyBorder="1" applyAlignment="1">
      <alignment horizontal="center" vertical="center"/>
    </xf>
    <xf numFmtId="0" fontId="20" fillId="23" borderId="6" xfId="0" applyFont="1" applyFill="1" applyBorder="1" applyAlignment="1">
      <alignment horizontal="center" vertical="center"/>
    </xf>
    <xf numFmtId="0" fontId="18" fillId="13" borderId="6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/>
    </xf>
    <xf numFmtId="0" fontId="20" fillId="8" borderId="5" xfId="0" applyFont="1" applyFill="1" applyBorder="1" applyAlignment="1">
      <alignment horizontal="center" vertical="center"/>
    </xf>
    <xf numFmtId="0" fontId="18" fillId="10" borderId="6" xfId="0" applyFont="1" applyFill="1" applyBorder="1" applyAlignment="1">
      <alignment horizontal="center" vertical="center"/>
    </xf>
    <xf numFmtId="0" fontId="22" fillId="28" borderId="6" xfId="0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18" fillId="30" borderId="6" xfId="0" applyFont="1" applyFill="1" applyBorder="1" applyAlignment="1">
      <alignment horizontal="center" vertical="center"/>
    </xf>
    <xf numFmtId="164" fontId="6" fillId="0" borderId="1" xfId="1" applyFont="1" applyFill="1" applyBorder="1" applyAlignment="1">
      <alignment horizontal="center" vertical="center"/>
    </xf>
    <xf numFmtId="2" fontId="6" fillId="15" borderId="5" xfId="6" applyNumberFormat="1" applyFont="1" applyFill="1" applyBorder="1" applyAlignment="1">
      <alignment horizontal="center" vertical="center" wrapText="1"/>
    </xf>
    <xf numFmtId="164" fontId="5" fillId="2" borderId="2" xfId="1" applyFont="1" applyFill="1" applyBorder="1" applyAlignment="1">
      <alignment horizontal="left" vertical="center"/>
    </xf>
    <xf numFmtId="164" fontId="5" fillId="2" borderId="1" xfId="1" applyFont="1" applyFill="1" applyBorder="1" applyAlignment="1">
      <alignment horizontal="left" vertical="center"/>
    </xf>
    <xf numFmtId="164" fontId="5" fillId="2" borderId="5" xfId="1" applyFont="1" applyFill="1" applyBorder="1" applyAlignment="1">
      <alignment horizontal="left" vertical="center"/>
    </xf>
    <xf numFmtId="2" fontId="5" fillId="16" borderId="5" xfId="6" applyNumberFormat="1" applyFont="1" applyFill="1" applyBorder="1" applyAlignment="1">
      <alignment horizontal="left" vertical="center"/>
    </xf>
    <xf numFmtId="2" fontId="5" fillId="0" borderId="1" xfId="6" applyNumberFormat="1" applyFont="1" applyBorder="1" applyAlignment="1">
      <alignment horizontal="left" vertical="center"/>
    </xf>
    <xf numFmtId="2" fontId="5" fillId="0" borderId="5" xfId="6" applyNumberFormat="1" applyFont="1" applyBorder="1" applyAlignment="1">
      <alignment horizontal="left" vertical="center"/>
    </xf>
    <xf numFmtId="2" fontId="5" fillId="0" borderId="2" xfId="6" applyNumberFormat="1" applyFont="1" applyBorder="1" applyAlignment="1">
      <alignment horizontal="left" vertical="center"/>
    </xf>
    <xf numFmtId="171" fontId="5" fillId="11" borderId="1" xfId="1" applyNumberFormat="1" applyFont="1" applyFill="1" applyBorder="1" applyAlignment="1">
      <alignment horizontal="left" vertical="center"/>
    </xf>
    <xf numFmtId="2" fontId="5" fillId="8" borderId="1" xfId="6" applyNumberFormat="1" applyFont="1" applyFill="1" applyBorder="1" applyAlignment="1">
      <alignment horizontal="left" vertical="center"/>
    </xf>
    <xf numFmtId="164" fontId="5" fillId="11" borderId="1" xfId="1" applyFont="1" applyFill="1" applyBorder="1" applyAlignment="1">
      <alignment horizontal="left" vertical="center"/>
    </xf>
    <xf numFmtId="0" fontId="10" fillId="17" borderId="1" xfId="0" applyFont="1" applyFill="1" applyBorder="1" applyAlignment="1">
      <alignment horizontal="left" vertical="center" wrapText="1"/>
    </xf>
    <xf numFmtId="171" fontId="17" fillId="0" borderId="1" xfId="1" applyNumberFormat="1" applyFont="1" applyFill="1" applyBorder="1" applyAlignment="1">
      <alignment horizontal="left" vertical="center"/>
    </xf>
    <xf numFmtId="171" fontId="5" fillId="0" borderId="1" xfId="1" applyNumberFormat="1" applyFont="1" applyFill="1" applyBorder="1" applyAlignment="1">
      <alignment horizontal="left" vertical="center"/>
    </xf>
    <xf numFmtId="164" fontId="5" fillId="0" borderId="1" xfId="1" applyFont="1" applyFill="1" applyBorder="1" applyAlignment="1">
      <alignment horizontal="left" vertical="center"/>
    </xf>
    <xf numFmtId="164" fontId="5" fillId="0" borderId="1" xfId="1" applyFont="1" applyFill="1" applyBorder="1" applyAlignment="1">
      <alignment horizontal="left" vertical="center" wrapText="1"/>
    </xf>
    <xf numFmtId="171" fontId="5" fillId="2" borderId="1" xfId="1" applyNumberFormat="1" applyFont="1" applyFill="1" applyBorder="1" applyAlignment="1">
      <alignment horizontal="left" vertical="center"/>
    </xf>
    <xf numFmtId="2" fontId="17" fillId="8" borderId="1" xfId="6" applyNumberFormat="1" applyFont="1" applyFill="1" applyBorder="1" applyAlignment="1">
      <alignment horizontal="left" vertical="center"/>
    </xf>
    <xf numFmtId="0" fontId="10" fillId="26" borderId="1" xfId="0" applyFont="1" applyFill="1" applyBorder="1" applyAlignment="1">
      <alignment horizontal="left" vertical="center" wrapText="1"/>
    </xf>
    <xf numFmtId="2" fontId="14" fillId="8" borderId="1" xfId="6" applyNumberFormat="1" applyFont="1" applyFill="1" applyBorder="1" applyAlignment="1">
      <alignment horizontal="left" vertical="center"/>
    </xf>
    <xf numFmtId="0" fontId="10" fillId="26" borderId="5" xfId="0" applyFont="1" applyFill="1" applyBorder="1" applyAlignment="1">
      <alignment horizontal="left" vertical="center" wrapText="1"/>
    </xf>
    <xf numFmtId="170" fontId="5" fillId="0" borderId="2" xfId="0" applyNumberFormat="1" applyFont="1" applyBorder="1" applyAlignment="1">
      <alignment horizontal="left" vertical="center"/>
    </xf>
    <xf numFmtId="170" fontId="5" fillId="0" borderId="1" xfId="0" applyNumberFormat="1" applyFont="1" applyBorder="1" applyAlignment="1">
      <alignment horizontal="left" vertical="center"/>
    </xf>
    <xf numFmtId="170" fontId="5" fillId="0" borderId="5" xfId="0" applyNumberFormat="1" applyFont="1" applyBorder="1" applyAlignment="1">
      <alignment horizontal="left" vertical="center"/>
    </xf>
    <xf numFmtId="170" fontId="5" fillId="16" borderId="5" xfId="0" applyNumberFormat="1" applyFont="1" applyFill="1" applyBorder="1" applyAlignment="1">
      <alignment horizontal="left" vertical="center"/>
    </xf>
    <xf numFmtId="169" fontId="5" fillId="0" borderId="2" xfId="0" applyNumberFormat="1" applyFont="1" applyBorder="1" applyAlignment="1">
      <alignment horizontal="left" vertical="center"/>
    </xf>
    <xf numFmtId="170" fontId="5" fillId="8" borderId="1" xfId="0" applyNumberFormat="1" applyFont="1" applyFill="1" applyBorder="1" applyAlignment="1">
      <alignment horizontal="left" vertical="center"/>
    </xf>
    <xf numFmtId="170" fontId="10" fillId="17" borderId="1" xfId="0" applyNumberFormat="1" applyFont="1" applyFill="1" applyBorder="1" applyAlignment="1">
      <alignment horizontal="left" vertical="center"/>
    </xf>
    <xf numFmtId="170" fontId="17" fillId="8" borderId="1" xfId="0" applyNumberFormat="1" applyFont="1" applyFill="1" applyBorder="1" applyAlignment="1">
      <alignment horizontal="left" vertical="center"/>
    </xf>
    <xf numFmtId="170" fontId="14" fillId="8" borderId="1" xfId="0" applyNumberFormat="1" applyFont="1" applyFill="1" applyBorder="1" applyAlignment="1">
      <alignment horizontal="left" vertical="center"/>
    </xf>
    <xf numFmtId="170" fontId="6" fillId="16" borderId="5" xfId="0" applyNumberFormat="1" applyFont="1" applyFill="1" applyBorder="1" applyAlignment="1">
      <alignment horizontal="left" vertical="center"/>
    </xf>
    <xf numFmtId="170" fontId="10" fillId="17" borderId="5" xfId="0" applyNumberFormat="1" applyFont="1" applyFill="1" applyBorder="1" applyAlignment="1">
      <alignment horizontal="left" vertical="center"/>
    </xf>
    <xf numFmtId="171" fontId="17" fillId="8" borderId="1" xfId="1" applyNumberFormat="1" applyFont="1" applyFill="1" applyBorder="1" applyAlignment="1">
      <alignment horizontal="left" vertical="center"/>
    </xf>
    <xf numFmtId="164" fontId="17" fillId="8" borderId="1" xfId="1" applyFont="1" applyFill="1" applyBorder="1" applyAlignment="1">
      <alignment horizontal="left" vertical="center"/>
    </xf>
    <xf numFmtId="171" fontId="10" fillId="17" borderId="1" xfId="1" applyNumberFormat="1" applyFont="1" applyFill="1" applyBorder="1" applyAlignment="1">
      <alignment horizontal="left" vertical="center"/>
    </xf>
    <xf numFmtId="2" fontId="6" fillId="16" borderId="5" xfId="6" applyNumberFormat="1" applyFont="1" applyFill="1" applyBorder="1" applyAlignment="1">
      <alignment horizontal="left" vertical="center"/>
    </xf>
    <xf numFmtId="2" fontId="17" fillId="0" borderId="1" xfId="6" applyNumberFormat="1" applyFont="1" applyBorder="1" applyAlignment="1">
      <alignment horizontal="left" vertical="center"/>
    </xf>
    <xf numFmtId="2" fontId="10" fillId="17" borderId="1" xfId="6" applyNumberFormat="1" applyFont="1" applyFill="1" applyBorder="1" applyAlignment="1">
      <alignment horizontal="left" vertical="center"/>
    </xf>
    <xf numFmtId="0" fontId="11" fillId="15" borderId="5" xfId="6" applyFont="1" applyFill="1" applyBorder="1" applyAlignment="1">
      <alignment horizontal="left" vertical="center" wrapText="1"/>
    </xf>
    <xf numFmtId="2" fontId="5" fillId="8" borderId="1" xfId="6" applyNumberFormat="1" applyFont="1" applyFill="1" applyBorder="1" applyAlignment="1">
      <alignment vertical="center"/>
    </xf>
    <xf numFmtId="2" fontId="10" fillId="17" borderId="5" xfId="6" applyNumberFormat="1" applyFont="1" applyFill="1" applyBorder="1" applyAlignment="1">
      <alignment horizontal="left" vertical="center"/>
    </xf>
    <xf numFmtId="1" fontId="5" fillId="8" borderId="1" xfId="0" applyNumberFormat="1" applyFont="1" applyFill="1" applyBorder="1" applyAlignment="1">
      <alignment horizontal="left" vertical="center"/>
    </xf>
    <xf numFmtId="1" fontId="10" fillId="17" borderId="5" xfId="0" applyNumberFormat="1" applyFont="1" applyFill="1" applyBorder="1" applyAlignment="1">
      <alignment horizontal="left" vertical="center"/>
    </xf>
    <xf numFmtId="1" fontId="10" fillId="17" borderId="5" xfId="6" applyNumberFormat="1" applyFont="1" applyFill="1" applyBorder="1" applyAlignment="1">
      <alignment horizontal="left" vertical="center"/>
    </xf>
    <xf numFmtId="164" fontId="17" fillId="8" borderId="2" xfId="1" applyFont="1" applyFill="1" applyBorder="1" applyAlignment="1">
      <alignment horizontal="left" vertical="center"/>
    </xf>
    <xf numFmtId="168" fontId="6" fillId="15" borderId="5" xfId="6" applyNumberFormat="1" applyFont="1" applyFill="1" applyBorder="1" applyAlignment="1">
      <alignment horizontal="center" vertical="center" wrapText="1"/>
    </xf>
    <xf numFmtId="170" fontId="17" fillId="0" borderId="1" xfId="0" applyNumberFormat="1" applyFont="1" applyBorder="1" applyAlignment="1">
      <alignment horizontal="left" vertical="center"/>
    </xf>
    <xf numFmtId="2" fontId="6" fillId="21" borderId="8" xfId="6" applyNumberFormat="1" applyFont="1" applyFill="1" applyBorder="1" applyAlignment="1">
      <alignment horizontal="left" vertical="center"/>
    </xf>
    <xf numFmtId="168" fontId="5" fillId="0" borderId="2" xfId="0" applyNumberFormat="1" applyFont="1" applyBorder="1" applyAlignment="1">
      <alignment horizontal="left" vertical="center"/>
    </xf>
    <xf numFmtId="168" fontId="5" fillId="0" borderId="1" xfId="0" applyNumberFormat="1" applyFont="1" applyBorder="1" applyAlignment="1">
      <alignment horizontal="left" vertical="center"/>
    </xf>
    <xf numFmtId="168" fontId="5" fillId="0" borderId="5" xfId="0" applyNumberFormat="1" applyFont="1" applyBorder="1" applyAlignment="1">
      <alignment horizontal="left" vertical="center"/>
    </xf>
    <xf numFmtId="170" fontId="27" fillId="16" borderId="5" xfId="0" applyNumberFormat="1" applyFont="1" applyFill="1" applyBorder="1" applyAlignment="1">
      <alignment horizontal="left" vertical="center"/>
    </xf>
    <xf numFmtId="2" fontId="6" fillId="22" borderId="8" xfId="6" applyNumberFormat="1" applyFont="1" applyFill="1" applyBorder="1" applyAlignment="1">
      <alignment horizontal="left" vertical="center"/>
    </xf>
    <xf numFmtId="2" fontId="6" fillId="24" borderId="13" xfId="6" applyNumberFormat="1" applyFont="1" applyFill="1" applyBorder="1" applyAlignment="1">
      <alignment horizontal="left" vertical="center"/>
    </xf>
    <xf numFmtId="2" fontId="13" fillId="14" borderId="8" xfId="6" applyNumberFormat="1" applyFont="1" applyFill="1" applyBorder="1" applyAlignment="1">
      <alignment horizontal="left" vertical="center"/>
    </xf>
    <xf numFmtId="170" fontId="28" fillId="17" borderId="1" xfId="0" applyNumberFormat="1" applyFont="1" applyFill="1" applyBorder="1" applyAlignment="1">
      <alignment horizontal="left" vertical="center"/>
    </xf>
    <xf numFmtId="170" fontId="31" fillId="17" borderId="1" xfId="0" applyNumberFormat="1" applyFont="1" applyFill="1" applyBorder="1" applyAlignment="1">
      <alignment horizontal="left" vertical="center"/>
    </xf>
    <xf numFmtId="170" fontId="32" fillId="17" borderId="1" xfId="0" applyNumberFormat="1" applyFont="1" applyFill="1" applyBorder="1" applyAlignment="1">
      <alignment horizontal="left" vertical="center"/>
    </xf>
    <xf numFmtId="170" fontId="26" fillId="16" borderId="5" xfId="0" applyNumberFormat="1" applyFont="1" applyFill="1" applyBorder="1" applyAlignment="1">
      <alignment horizontal="left" vertical="center"/>
    </xf>
    <xf numFmtId="2" fontId="6" fillId="27" borderId="8" xfId="6" applyNumberFormat="1" applyFont="1" applyFill="1" applyBorder="1" applyAlignment="1">
      <alignment horizontal="left" vertical="center"/>
    </xf>
    <xf numFmtId="170" fontId="26" fillId="17" borderId="5" xfId="0" applyNumberFormat="1" applyFont="1" applyFill="1" applyBorder="1" applyAlignment="1">
      <alignment horizontal="left" vertical="center"/>
    </xf>
    <xf numFmtId="2" fontId="11" fillId="29" borderId="8" xfId="6" applyNumberFormat="1" applyFont="1" applyFill="1" applyBorder="1" applyAlignment="1">
      <alignment horizontal="left" vertical="center"/>
    </xf>
    <xf numFmtId="168" fontId="26" fillId="8" borderId="1" xfId="0" applyNumberFormat="1" applyFont="1" applyFill="1" applyBorder="1" applyAlignment="1">
      <alignment horizontal="left" vertical="center"/>
    </xf>
    <xf numFmtId="170" fontId="33" fillId="17" borderId="1" xfId="0" applyNumberFormat="1" applyFont="1" applyFill="1" applyBorder="1" applyAlignment="1">
      <alignment horizontal="left" vertical="center"/>
    </xf>
    <xf numFmtId="170" fontId="6" fillId="31" borderId="8" xfId="6" applyNumberFormat="1" applyFont="1" applyFill="1" applyBorder="1" applyAlignment="1">
      <alignment horizontal="left" vertical="center"/>
    </xf>
    <xf numFmtId="170" fontId="33" fillId="17" borderId="5" xfId="0" applyNumberFormat="1" applyFont="1" applyFill="1" applyBorder="1" applyAlignment="1">
      <alignment horizontal="left" vertical="center"/>
    </xf>
    <xf numFmtId="170" fontId="6" fillId="0" borderId="1" xfId="1" applyNumberFormat="1" applyFont="1" applyFill="1" applyBorder="1" applyAlignment="1">
      <alignment horizontal="center" vertical="center"/>
    </xf>
    <xf numFmtId="170" fontId="6" fillId="15" borderId="5" xfId="6" applyNumberFormat="1" applyFont="1" applyFill="1" applyBorder="1" applyAlignment="1">
      <alignment horizontal="center" vertical="center" wrapText="1"/>
    </xf>
    <xf numFmtId="170" fontId="6" fillId="21" borderId="7" xfId="6" applyNumberFormat="1" applyFont="1" applyFill="1" applyBorder="1" applyAlignment="1">
      <alignment horizontal="left" vertical="center"/>
    </xf>
    <xf numFmtId="170" fontId="6" fillId="22" borderId="7" xfId="6" applyNumberFormat="1" applyFont="1" applyFill="1" applyBorder="1" applyAlignment="1">
      <alignment horizontal="left" vertical="center"/>
    </xf>
    <xf numFmtId="170" fontId="6" fillId="24" borderId="7" xfId="6" applyNumberFormat="1" applyFont="1" applyFill="1" applyBorder="1" applyAlignment="1">
      <alignment horizontal="left" vertical="center"/>
    </xf>
    <xf numFmtId="170" fontId="13" fillId="14" borderId="7" xfId="6" applyNumberFormat="1" applyFont="1" applyFill="1" applyBorder="1" applyAlignment="1">
      <alignment horizontal="left" vertical="center"/>
    </xf>
    <xf numFmtId="170" fontId="11" fillId="15" borderId="1" xfId="6" applyNumberFormat="1" applyFont="1" applyFill="1" applyBorder="1" applyAlignment="1">
      <alignment horizontal="left" vertical="center" wrapText="1"/>
    </xf>
    <xf numFmtId="170" fontId="6" fillId="27" borderId="7" xfId="6" applyNumberFormat="1" applyFont="1" applyFill="1" applyBorder="1" applyAlignment="1">
      <alignment horizontal="left" vertical="center"/>
    </xf>
    <xf numFmtId="170" fontId="11" fillId="15" borderId="2" xfId="6" applyNumberFormat="1" applyFont="1" applyFill="1" applyBorder="1" applyAlignment="1">
      <alignment horizontal="left" vertical="center" wrapText="1"/>
    </xf>
    <xf numFmtId="170" fontId="11" fillId="29" borderId="7" xfId="6" applyNumberFormat="1" applyFont="1" applyFill="1" applyBorder="1" applyAlignment="1">
      <alignment horizontal="left" vertical="center"/>
    </xf>
    <xf numFmtId="170" fontId="6" fillId="10" borderId="4" xfId="0" applyNumberFormat="1" applyFont="1" applyFill="1" applyBorder="1" applyAlignment="1">
      <alignment horizontal="right" vertical="center"/>
    </xf>
    <xf numFmtId="170" fontId="0" fillId="0" borderId="0" xfId="0" applyNumberFormat="1" applyAlignment="1">
      <alignment horizontal="right" vertical="center"/>
    </xf>
    <xf numFmtId="170" fontId="6" fillId="24" borderId="8" xfId="6" applyNumberFormat="1" applyFont="1" applyFill="1" applyBorder="1" applyAlignment="1">
      <alignment horizontal="left" vertical="center"/>
    </xf>
    <xf numFmtId="170" fontId="11" fillId="15" borderId="5" xfId="6" applyNumberFormat="1" applyFont="1" applyFill="1" applyBorder="1" applyAlignment="1">
      <alignment horizontal="left" vertical="center" wrapText="1"/>
    </xf>
    <xf numFmtId="170" fontId="5" fillId="8" borderId="1" xfId="6" applyNumberFormat="1" applyFont="1" applyFill="1" applyBorder="1" applyAlignment="1">
      <alignment vertical="center"/>
    </xf>
    <xf numFmtId="170" fontId="29" fillId="8" borderId="2" xfId="6" applyNumberFormat="1" applyFont="1" applyFill="1" applyBorder="1" applyAlignment="1">
      <alignment vertical="center"/>
    </xf>
    <xf numFmtId="170" fontId="20" fillId="0" borderId="0" xfId="0" applyNumberFormat="1" applyFont="1" applyAlignment="1">
      <alignment horizontal="right" vertical="center"/>
    </xf>
    <xf numFmtId="170" fontId="5" fillId="2" borderId="5" xfId="6" applyNumberFormat="1" applyFont="1" applyFill="1" applyBorder="1" applyAlignment="1">
      <alignment horizontal="center" vertical="center" wrapText="1"/>
    </xf>
    <xf numFmtId="2" fontId="6" fillId="21" borderId="7" xfId="6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25" borderId="5" xfId="6" applyFont="1" applyFill="1" applyBorder="1" applyAlignment="1">
      <alignment horizontal="center" vertical="center" wrapText="1"/>
    </xf>
    <xf numFmtId="2" fontId="6" fillId="22" borderId="7" xfId="6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2" fontId="6" fillId="24" borderId="7" xfId="6" applyNumberFormat="1" applyFont="1" applyFill="1" applyBorder="1" applyAlignment="1">
      <alignment horizontal="center" vertical="center"/>
    </xf>
    <xf numFmtId="2" fontId="13" fillId="14" borderId="7" xfId="6" applyNumberFormat="1" applyFont="1" applyFill="1" applyBorder="1" applyAlignment="1">
      <alignment horizontal="center" vertical="center"/>
    </xf>
    <xf numFmtId="0" fontId="11" fillId="15" borderId="1" xfId="6" applyFont="1" applyFill="1" applyBorder="1" applyAlignment="1">
      <alignment horizontal="center" vertical="center" wrapText="1"/>
    </xf>
    <xf numFmtId="0" fontId="17" fillId="8" borderId="1" xfId="6" applyFont="1" applyFill="1" applyBorder="1" applyAlignment="1">
      <alignment horizontal="center" vertical="center"/>
    </xf>
    <xf numFmtId="0" fontId="5" fillId="8" borderId="1" xfId="6" applyFont="1" applyFill="1" applyBorder="1" applyAlignment="1">
      <alignment horizontal="center" vertical="center" wrapText="1"/>
    </xf>
    <xf numFmtId="0" fontId="11" fillId="0" borderId="1" xfId="6" applyFont="1" applyBorder="1" applyAlignment="1">
      <alignment horizontal="center" vertical="center" wrapText="1"/>
    </xf>
    <xf numFmtId="0" fontId="5" fillId="0" borderId="1" xfId="6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7" fillId="11" borderId="1" xfId="6" applyFont="1" applyFill="1" applyBorder="1" applyAlignment="1">
      <alignment horizontal="center" vertical="center" wrapText="1"/>
    </xf>
    <xf numFmtId="0" fontId="12" fillId="8" borderId="1" xfId="6" applyFont="1" applyFill="1" applyBorder="1" applyAlignment="1">
      <alignment horizontal="center" vertical="center"/>
    </xf>
    <xf numFmtId="0" fontId="10" fillId="8" borderId="1" xfId="6" applyFont="1" applyFill="1" applyBorder="1" applyAlignment="1">
      <alignment horizontal="center" vertical="center"/>
    </xf>
    <xf numFmtId="0" fontId="5" fillId="11" borderId="1" xfId="6" applyFont="1" applyFill="1" applyBorder="1" applyAlignment="1">
      <alignment horizontal="center" vertical="center" wrapText="1"/>
    </xf>
    <xf numFmtId="0" fontId="14" fillId="8" borderId="1" xfId="6" applyFont="1" applyFill="1" applyBorder="1" applyAlignment="1">
      <alignment horizontal="center" vertical="center" wrapText="1"/>
    </xf>
    <xf numFmtId="0" fontId="10" fillId="8" borderId="5" xfId="6" applyFont="1" applyFill="1" applyBorder="1" applyAlignment="1">
      <alignment horizontal="center" vertical="center"/>
    </xf>
    <xf numFmtId="2" fontId="6" fillId="27" borderId="7" xfId="6" applyNumberFormat="1" applyFont="1" applyFill="1" applyBorder="1" applyAlignment="1">
      <alignment horizontal="center" vertical="center"/>
    </xf>
    <xf numFmtId="0" fontId="11" fillId="15" borderId="2" xfId="6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/>
    </xf>
    <xf numFmtId="2" fontId="11" fillId="29" borderId="7" xfId="6" applyNumberFormat="1" applyFont="1" applyFill="1" applyBorder="1" applyAlignment="1">
      <alignment horizontal="center" vertical="center"/>
    </xf>
    <xf numFmtId="168" fontId="5" fillId="8" borderId="1" xfId="0" applyNumberFormat="1" applyFont="1" applyFill="1" applyBorder="1" applyAlignment="1">
      <alignment horizontal="center" vertical="center"/>
    </xf>
    <xf numFmtId="170" fontId="6" fillId="31" borderId="7" xfId="6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6" fillId="15" borderId="5" xfId="6" applyFont="1" applyFill="1" applyBorder="1" applyAlignment="1">
      <alignment horizontal="left" vertical="center" wrapText="1"/>
    </xf>
    <xf numFmtId="0" fontId="18" fillId="20" borderId="7" xfId="6" applyFont="1" applyFill="1" applyBorder="1" applyAlignment="1">
      <alignment horizontal="left" vertical="center" wrapText="1"/>
    </xf>
    <xf numFmtId="0" fontId="5" fillId="0" borderId="5" xfId="6" applyFont="1" applyBorder="1" applyAlignment="1">
      <alignment horizontal="left" vertical="center" wrapText="1"/>
    </xf>
    <xf numFmtId="0" fontId="6" fillId="25" borderId="5" xfId="6" applyFont="1" applyFill="1" applyBorder="1" applyAlignment="1">
      <alignment horizontal="left" vertical="center" wrapText="1"/>
    </xf>
    <xf numFmtId="0" fontId="18" fillId="3" borderId="7" xfId="6" applyFont="1" applyFill="1" applyBorder="1" applyAlignment="1">
      <alignment horizontal="left" vertical="center" wrapText="1"/>
    </xf>
    <xf numFmtId="0" fontId="18" fillId="4" borderId="7" xfId="6" applyFont="1" applyFill="1" applyBorder="1" applyAlignment="1">
      <alignment horizontal="left" vertical="center" wrapText="1"/>
    </xf>
    <xf numFmtId="0" fontId="18" fillId="5" borderId="7" xfId="6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/>
    </xf>
    <xf numFmtId="2" fontId="6" fillId="15" borderId="1" xfId="0" applyNumberFormat="1" applyFont="1" applyFill="1" applyBorder="1" applyAlignment="1">
      <alignment horizontal="left" vertical="center"/>
    </xf>
    <xf numFmtId="2" fontId="6" fillId="15" borderId="1" xfId="0" applyNumberFormat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/>
    </xf>
    <xf numFmtId="0" fontId="14" fillId="11" borderId="1" xfId="6" applyFont="1" applyFill="1" applyBorder="1" applyAlignment="1">
      <alignment horizontal="left" vertical="center" wrapText="1"/>
    </xf>
    <xf numFmtId="0" fontId="21" fillId="8" borderId="5" xfId="0" applyFont="1" applyFill="1" applyBorder="1" applyAlignment="1">
      <alignment horizontal="left" vertical="center"/>
    </xf>
    <xf numFmtId="0" fontId="18" fillId="6" borderId="7" xfId="6" applyFont="1" applyFill="1" applyBorder="1" applyAlignment="1">
      <alignment horizontal="left" vertical="center" wrapText="1"/>
    </xf>
    <xf numFmtId="0" fontId="19" fillId="7" borderId="7" xfId="0" applyFont="1" applyFill="1" applyBorder="1" applyAlignment="1">
      <alignment horizontal="left" vertical="center" wrapText="1"/>
    </xf>
    <xf numFmtId="0" fontId="5" fillId="2" borderId="5" xfId="6" applyFont="1" applyFill="1" applyBorder="1" applyAlignment="1">
      <alignment horizontal="left" vertical="center" wrapText="1"/>
    </xf>
    <xf numFmtId="0" fontId="5" fillId="2" borderId="2" xfId="6" applyFont="1" applyFill="1" applyBorder="1" applyAlignment="1">
      <alignment horizontal="left" vertical="center" wrapText="1"/>
    </xf>
    <xf numFmtId="0" fontId="19" fillId="30" borderId="7" xfId="6" applyFont="1" applyFill="1" applyBorder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11" fillId="15" borderId="5" xfId="6" applyNumberFormat="1" applyFont="1" applyFill="1" applyBorder="1" applyAlignment="1">
      <alignment horizontal="center" vertical="center" wrapText="1"/>
    </xf>
    <xf numFmtId="0" fontId="11" fillId="15" borderId="5" xfId="6" applyFont="1" applyFill="1" applyBorder="1" applyAlignment="1">
      <alignment horizontal="center" vertical="center" wrapText="1"/>
    </xf>
    <xf numFmtId="0" fontId="11" fillId="15" borderId="5" xfId="6" applyFont="1" applyFill="1" applyBorder="1" applyAlignment="1">
      <alignment horizontal="left" vertical="top" wrapText="1"/>
    </xf>
    <xf numFmtId="0" fontId="11" fillId="18" borderId="5" xfId="6" applyFont="1" applyFill="1" applyBorder="1" applyAlignment="1">
      <alignment horizontal="left" vertical="top" wrapText="1"/>
    </xf>
    <xf numFmtId="2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top"/>
    </xf>
    <xf numFmtId="169" fontId="5" fillId="0" borderId="1" xfId="0" applyNumberFormat="1" applyFont="1" applyBorder="1" applyAlignment="1">
      <alignment horizontal="left" vertical="center"/>
    </xf>
    <xf numFmtId="0" fontId="10" fillId="26" borderId="12" xfId="0" applyFont="1" applyFill="1" applyBorder="1" applyAlignment="1">
      <alignment horizontal="left" vertical="center" wrapText="1"/>
    </xf>
    <xf numFmtId="170" fontId="10" fillId="17" borderId="12" xfId="0" applyNumberFormat="1" applyFont="1" applyFill="1" applyBorder="1" applyAlignment="1">
      <alignment horizontal="left" vertical="center"/>
    </xf>
    <xf numFmtId="164" fontId="10" fillId="26" borderId="12" xfId="1" applyFont="1" applyFill="1" applyBorder="1" applyAlignment="1">
      <alignment horizontal="left" vertical="top"/>
    </xf>
    <xf numFmtId="1" fontId="10" fillId="17" borderId="12" xfId="6" applyNumberFormat="1" applyFont="1" applyFill="1" applyBorder="1" applyAlignment="1">
      <alignment horizontal="left" vertical="center"/>
    </xf>
    <xf numFmtId="170" fontId="33" fillId="17" borderId="12" xfId="0" applyNumberFormat="1" applyFont="1" applyFill="1" applyBorder="1" applyAlignment="1">
      <alignment horizontal="left" vertical="center"/>
    </xf>
    <xf numFmtId="170" fontId="34" fillId="16" borderId="5" xfId="0" applyNumberFormat="1" applyFont="1" applyFill="1" applyBorder="1" applyAlignment="1">
      <alignment horizontal="left" vertical="center"/>
    </xf>
    <xf numFmtId="2" fontId="5" fillId="8" borderId="2" xfId="0" applyNumberFormat="1" applyFont="1" applyFill="1" applyBorder="1" applyAlignment="1">
      <alignment horizontal="center" vertical="center"/>
    </xf>
    <xf numFmtId="168" fontId="5" fillId="8" borderId="2" xfId="0" applyNumberFormat="1" applyFont="1" applyFill="1" applyBorder="1" applyAlignment="1">
      <alignment horizontal="left" vertical="center"/>
    </xf>
    <xf numFmtId="168" fontId="5" fillId="8" borderId="2" xfId="0" applyNumberFormat="1" applyFont="1" applyFill="1" applyBorder="1" applyAlignment="1">
      <alignment horizontal="center" vertical="center"/>
    </xf>
    <xf numFmtId="168" fontId="5" fillId="8" borderId="2" xfId="0" applyNumberFormat="1" applyFont="1" applyFill="1" applyBorder="1" applyAlignment="1">
      <alignment horizontal="left" vertical="top"/>
    </xf>
    <xf numFmtId="1" fontId="5" fillId="8" borderId="2" xfId="0" applyNumberFormat="1" applyFont="1" applyFill="1" applyBorder="1" applyAlignment="1">
      <alignment horizontal="left" vertical="center"/>
    </xf>
    <xf numFmtId="168" fontId="26" fillId="8" borderId="2" xfId="0" applyNumberFormat="1" applyFont="1" applyFill="1" applyBorder="1" applyAlignment="1">
      <alignment horizontal="left" vertical="center"/>
    </xf>
    <xf numFmtId="0" fontId="11" fillId="8" borderId="1" xfId="6" applyFont="1" applyFill="1" applyBorder="1" applyAlignment="1">
      <alignment horizontal="left" vertical="top" wrapText="1"/>
    </xf>
    <xf numFmtId="0" fontId="11" fillId="8" borderId="5" xfId="6" applyFont="1" applyFill="1" applyBorder="1" applyAlignment="1">
      <alignment horizontal="left" vertical="top" wrapText="1"/>
    </xf>
    <xf numFmtId="2" fontId="11" fillId="8" borderId="1" xfId="6" applyNumberFormat="1" applyFont="1" applyFill="1" applyBorder="1" applyAlignment="1">
      <alignment horizontal="center" vertical="center" wrapText="1"/>
    </xf>
    <xf numFmtId="0" fontId="11" fillId="8" borderId="1" xfId="6" applyFont="1" applyFill="1" applyBorder="1" applyAlignment="1">
      <alignment horizontal="left" vertical="center" wrapText="1"/>
    </xf>
    <xf numFmtId="0" fontId="11" fillId="8" borderId="1" xfId="6" applyFont="1" applyFill="1" applyBorder="1" applyAlignment="1">
      <alignment horizontal="center" vertical="center" wrapText="1"/>
    </xf>
    <xf numFmtId="170" fontId="11" fillId="8" borderId="1" xfId="6" applyNumberFormat="1" applyFont="1" applyFill="1" applyBorder="1" applyAlignment="1">
      <alignment horizontal="left" vertical="center" wrapText="1"/>
    </xf>
    <xf numFmtId="2" fontId="11" fillId="8" borderId="5" xfId="6" applyNumberFormat="1" applyFont="1" applyFill="1" applyBorder="1" applyAlignment="1">
      <alignment horizontal="center" vertical="center" wrapText="1"/>
    </xf>
    <xf numFmtId="0" fontId="11" fillId="8" borderId="5" xfId="6" applyFont="1" applyFill="1" applyBorder="1" applyAlignment="1">
      <alignment horizontal="left" vertical="center" wrapText="1"/>
    </xf>
    <xf numFmtId="0" fontId="11" fillId="8" borderId="5" xfId="6" applyFont="1" applyFill="1" applyBorder="1" applyAlignment="1">
      <alignment horizontal="center" vertical="center" wrapText="1"/>
    </xf>
    <xf numFmtId="170" fontId="11" fillId="8" borderId="5" xfId="6" applyNumberFormat="1" applyFont="1" applyFill="1" applyBorder="1" applyAlignment="1">
      <alignment horizontal="left" vertical="center" wrapText="1"/>
    </xf>
    <xf numFmtId="0" fontId="16" fillId="9" borderId="1" xfId="6" applyFont="1" applyFill="1" applyBorder="1" applyAlignment="1">
      <alignment horizontal="center" vertical="top"/>
    </xf>
    <xf numFmtId="0" fontId="16" fillId="9" borderId="5" xfId="6" applyFont="1" applyFill="1" applyBorder="1" applyAlignment="1">
      <alignment horizontal="center" vertical="top"/>
    </xf>
    <xf numFmtId="0" fontId="16" fillId="9" borderId="2" xfId="6" applyFont="1" applyFill="1" applyBorder="1" applyAlignment="1">
      <alignment horizontal="left" vertical="top"/>
    </xf>
    <xf numFmtId="0" fontId="16" fillId="9" borderId="5" xfId="6" applyFont="1" applyFill="1" applyBorder="1" applyAlignment="1">
      <alignment horizontal="left" vertical="top"/>
    </xf>
    <xf numFmtId="0" fontId="16" fillId="18" borderId="1" xfId="6" applyFont="1" applyFill="1" applyBorder="1" applyAlignment="1">
      <alignment horizontal="left" vertical="top"/>
    </xf>
    <xf numFmtId="0" fontId="16" fillId="9" borderId="11" xfId="6" applyFont="1" applyFill="1" applyBorder="1" applyAlignment="1">
      <alignment horizontal="left" vertical="top"/>
    </xf>
    <xf numFmtId="0" fontId="16" fillId="9" borderId="12" xfId="6" applyFont="1" applyFill="1" applyBorder="1" applyAlignment="1">
      <alignment horizontal="left" vertical="top"/>
    </xf>
    <xf numFmtId="0" fontId="16" fillId="9" borderId="2" xfId="6" applyFont="1" applyFill="1" applyBorder="1" applyAlignment="1">
      <alignment vertical="center"/>
    </xf>
    <xf numFmtId="0" fontId="16" fillId="9" borderId="1" xfId="6" applyFont="1" applyFill="1" applyBorder="1" applyAlignment="1">
      <alignment vertical="center"/>
    </xf>
    <xf numFmtId="0" fontId="16" fillId="9" borderId="0" xfId="6" applyFont="1" applyFill="1" applyBorder="1" applyAlignment="1">
      <alignment vertical="center"/>
    </xf>
    <xf numFmtId="168" fontId="17" fillId="18" borderId="1" xfId="0" applyNumberFormat="1" applyFont="1" applyFill="1" applyBorder="1" applyAlignment="1">
      <alignment horizontal="left" vertical="top"/>
    </xf>
    <xf numFmtId="1" fontId="17" fillId="18" borderId="1" xfId="0" applyNumberFormat="1" applyFont="1" applyFill="1" applyBorder="1" applyAlignment="1">
      <alignment horizontal="left" vertical="center"/>
    </xf>
    <xf numFmtId="168" fontId="17" fillId="18" borderId="2" xfId="0" applyNumberFormat="1" applyFont="1" applyFill="1" applyBorder="1" applyAlignment="1">
      <alignment horizontal="left" vertical="top"/>
    </xf>
    <xf numFmtId="170" fontId="17" fillId="34" borderId="5" xfId="6" applyNumberFormat="1" applyFont="1" applyFill="1" applyBorder="1" applyAlignment="1">
      <alignment horizontal="left" vertical="top" wrapText="1"/>
    </xf>
    <xf numFmtId="0" fontId="5" fillId="8" borderId="5" xfId="6" applyFont="1" applyFill="1" applyBorder="1" applyAlignment="1">
      <alignment horizontal="left" vertical="center" wrapText="1"/>
    </xf>
    <xf numFmtId="0" fontId="5" fillId="8" borderId="5" xfId="6" applyFont="1" applyFill="1" applyBorder="1" applyAlignment="1">
      <alignment horizontal="center" vertical="center" wrapText="1"/>
    </xf>
    <xf numFmtId="2" fontId="21" fillId="0" borderId="5" xfId="0" applyNumberFormat="1" applyFont="1" applyBorder="1" applyAlignment="1">
      <alignment horizontal="center" vertical="center"/>
    </xf>
    <xf numFmtId="0" fontId="20" fillId="0" borderId="5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top"/>
    </xf>
    <xf numFmtId="164" fontId="17" fillId="8" borderId="5" xfId="1" applyFont="1" applyFill="1" applyBorder="1" applyAlignment="1">
      <alignment horizontal="left" vertical="center"/>
    </xf>
    <xf numFmtId="169" fontId="5" fillId="0" borderId="5" xfId="0" applyNumberFormat="1" applyFont="1" applyBorder="1" applyAlignment="1">
      <alignment horizontal="left" vertical="center"/>
    </xf>
    <xf numFmtId="1" fontId="10" fillId="17" borderId="1" xfId="6" applyNumberFormat="1" applyFont="1" applyFill="1" applyBorder="1" applyAlignment="1">
      <alignment horizontal="left" vertical="center"/>
    </xf>
    <xf numFmtId="0" fontId="0" fillId="8" borderId="0" xfId="0" applyFill="1" applyAlignment="1">
      <alignment vertical="center"/>
    </xf>
    <xf numFmtId="0" fontId="5" fillId="0" borderId="1" xfId="6" applyFont="1" applyBorder="1" applyAlignment="1">
      <alignment horizontal="left" vertical="top" wrapText="1"/>
    </xf>
    <xf numFmtId="0" fontId="19" fillId="32" borderId="6" xfId="0" applyFont="1" applyFill="1" applyBorder="1" applyAlignment="1">
      <alignment horizontal="center" vertical="center"/>
    </xf>
    <xf numFmtId="0" fontId="35" fillId="32" borderId="7" xfId="0" applyFont="1" applyFill="1" applyBorder="1" applyAlignment="1">
      <alignment horizontal="center" vertical="center"/>
    </xf>
    <xf numFmtId="0" fontId="19" fillId="32" borderId="7" xfId="6" applyFont="1" applyFill="1" applyBorder="1" applyAlignment="1">
      <alignment horizontal="left" vertical="center" wrapText="1"/>
    </xf>
    <xf numFmtId="170" fontId="36" fillId="33" borderId="7" xfId="6" applyNumberFormat="1" applyFont="1" applyFill="1" applyBorder="1" applyAlignment="1">
      <alignment horizontal="center" vertical="center"/>
    </xf>
    <xf numFmtId="170" fontId="36" fillId="33" borderId="7" xfId="6" applyNumberFormat="1" applyFont="1" applyFill="1" applyBorder="1" applyAlignment="1">
      <alignment horizontal="left" vertical="center"/>
    </xf>
    <xf numFmtId="170" fontId="36" fillId="33" borderId="7" xfId="6" applyNumberFormat="1" applyFont="1" applyFill="1" applyBorder="1" applyAlignment="1">
      <alignment horizontal="left" vertical="top"/>
    </xf>
    <xf numFmtId="170" fontId="36" fillId="33" borderId="8" xfId="6" applyNumberFormat="1" applyFont="1" applyFill="1" applyBorder="1" applyAlignment="1">
      <alignment horizontal="left" vertical="center"/>
    </xf>
    <xf numFmtId="0" fontId="19" fillId="0" borderId="14" xfId="0" applyFont="1" applyBorder="1" applyAlignment="1">
      <alignment horizontal="center" vertical="center"/>
    </xf>
    <xf numFmtId="170" fontId="33" fillId="16" borderId="5" xfId="0" applyNumberFormat="1" applyFont="1" applyFill="1" applyBorder="1" applyAlignment="1">
      <alignment horizontal="left" vertical="center"/>
    </xf>
    <xf numFmtId="2" fontId="5" fillId="8" borderId="5" xfId="6" applyNumberFormat="1" applyFont="1" applyFill="1" applyBorder="1" applyAlignment="1">
      <alignment horizontal="left" vertical="top"/>
    </xf>
    <xf numFmtId="2" fontId="17" fillId="8" borderId="5" xfId="6" applyNumberFormat="1" applyFont="1" applyFill="1" applyBorder="1" applyAlignment="1">
      <alignment horizontal="left" vertical="center"/>
    </xf>
    <xf numFmtId="0" fontId="19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/>
    </xf>
    <xf numFmtId="0" fontId="19" fillId="38" borderId="14" xfId="0" applyFont="1" applyFill="1" applyBorder="1" applyAlignment="1">
      <alignment horizontal="center" vertical="center"/>
    </xf>
    <xf numFmtId="0" fontId="20" fillId="38" borderId="18" xfId="0" applyFont="1" applyFill="1" applyBorder="1" applyAlignment="1">
      <alignment horizontal="center" vertical="center"/>
    </xf>
    <xf numFmtId="0" fontId="6" fillId="39" borderId="18" xfId="6" applyFont="1" applyFill="1" applyBorder="1" applyAlignment="1">
      <alignment horizontal="left" vertical="center" wrapText="1"/>
    </xf>
    <xf numFmtId="0" fontId="5" fillId="39" borderId="18" xfId="6" applyFont="1" applyFill="1" applyBorder="1" applyAlignment="1">
      <alignment horizontal="center" vertical="center" wrapText="1"/>
    </xf>
    <xf numFmtId="2" fontId="5" fillId="38" borderId="18" xfId="6" applyNumberFormat="1" applyFont="1" applyFill="1" applyBorder="1" applyAlignment="1">
      <alignment horizontal="left" vertical="center"/>
    </xf>
    <xf numFmtId="170" fontId="6" fillId="38" borderId="18" xfId="0" applyNumberFormat="1" applyFont="1" applyFill="1" applyBorder="1" applyAlignment="1">
      <alignment horizontal="left" vertical="center"/>
    </xf>
    <xf numFmtId="2" fontId="6" fillId="38" borderId="18" xfId="6" applyNumberFormat="1" applyFont="1" applyFill="1" applyBorder="1" applyAlignment="1">
      <alignment horizontal="left" vertical="top"/>
    </xf>
    <xf numFmtId="0" fontId="16" fillId="40" borderId="18" xfId="6" applyFont="1" applyFill="1" applyBorder="1" applyAlignment="1">
      <alignment horizontal="left" vertical="top"/>
    </xf>
    <xf numFmtId="2" fontId="6" fillId="38" borderId="18" xfId="6" applyNumberFormat="1" applyFont="1" applyFill="1" applyBorder="1" applyAlignment="1">
      <alignment horizontal="left" vertical="center"/>
    </xf>
    <xf numFmtId="170" fontId="6" fillId="38" borderId="19" xfId="0" applyNumberFormat="1" applyFont="1" applyFill="1" applyBorder="1" applyAlignment="1">
      <alignment horizontal="left" vertical="center"/>
    </xf>
    <xf numFmtId="0" fontId="19" fillId="8" borderId="1" xfId="0" applyFont="1" applyFill="1" applyBorder="1" applyAlignment="1">
      <alignment horizontal="center" vertical="center"/>
    </xf>
    <xf numFmtId="0" fontId="6" fillId="11" borderId="1" xfId="6" applyFont="1" applyFill="1" applyBorder="1" applyAlignment="1">
      <alignment horizontal="left" vertical="center" wrapText="1"/>
    </xf>
    <xf numFmtId="170" fontId="6" fillId="8" borderId="1" xfId="0" applyNumberFormat="1" applyFont="1" applyFill="1" applyBorder="1" applyAlignment="1">
      <alignment horizontal="left" vertical="center"/>
    </xf>
    <xf numFmtId="2" fontId="6" fillId="8" borderId="1" xfId="6" applyNumberFormat="1" applyFont="1" applyFill="1" applyBorder="1" applyAlignment="1">
      <alignment horizontal="left" vertical="top"/>
    </xf>
    <xf numFmtId="0" fontId="16" fillId="41" borderId="1" xfId="6" applyFont="1" applyFill="1" applyBorder="1" applyAlignment="1">
      <alignment horizontal="left" vertical="top"/>
    </xf>
    <xf numFmtId="2" fontId="6" fillId="8" borderId="1" xfId="6" applyNumberFormat="1" applyFont="1" applyFill="1" applyBorder="1" applyAlignment="1">
      <alignment horizontal="left" vertical="center"/>
    </xf>
    <xf numFmtId="0" fontId="19" fillId="8" borderId="15" xfId="0" applyFont="1" applyFill="1" applyBorder="1" applyAlignment="1">
      <alignment horizontal="center" vertical="center"/>
    </xf>
    <xf numFmtId="0" fontId="20" fillId="8" borderId="12" xfId="0" applyFont="1" applyFill="1" applyBorder="1" applyAlignment="1">
      <alignment horizontal="center" vertical="center"/>
    </xf>
    <xf numFmtId="0" fontId="6" fillId="11" borderId="12" xfId="6" applyFont="1" applyFill="1" applyBorder="1" applyAlignment="1">
      <alignment horizontal="left" vertical="center" wrapText="1"/>
    </xf>
    <xf numFmtId="0" fontId="5" fillId="11" borderId="12" xfId="6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/>
    </xf>
    <xf numFmtId="0" fontId="6" fillId="36" borderId="12" xfId="6" applyFont="1" applyFill="1" applyBorder="1" applyAlignment="1">
      <alignment horizontal="left" vertical="center" wrapText="1"/>
    </xf>
    <xf numFmtId="0" fontId="5" fillId="36" borderId="12" xfId="6" applyFont="1" applyFill="1" applyBorder="1" applyAlignment="1">
      <alignment horizontal="center" vertical="center" wrapText="1"/>
    </xf>
    <xf numFmtId="2" fontId="5" fillId="35" borderId="12" xfId="6" applyNumberFormat="1" applyFont="1" applyFill="1" applyBorder="1" applyAlignment="1">
      <alignment horizontal="left" vertical="center"/>
    </xf>
    <xf numFmtId="170" fontId="6" fillId="35" borderId="12" xfId="0" applyNumberFormat="1" applyFont="1" applyFill="1" applyBorder="1" applyAlignment="1">
      <alignment horizontal="left" vertical="center"/>
    </xf>
    <xf numFmtId="2" fontId="6" fillId="35" borderId="12" xfId="6" applyNumberFormat="1" applyFont="1" applyFill="1" applyBorder="1" applyAlignment="1">
      <alignment horizontal="left" vertical="top"/>
    </xf>
    <xf numFmtId="0" fontId="16" fillId="37" borderId="12" xfId="6" applyFont="1" applyFill="1" applyBorder="1" applyAlignment="1">
      <alignment horizontal="left" vertical="top"/>
    </xf>
    <xf numFmtId="2" fontId="6" fillId="35" borderId="12" xfId="6" applyNumberFormat="1" applyFont="1" applyFill="1" applyBorder="1" applyAlignment="1">
      <alignment horizontal="left" vertical="center"/>
    </xf>
    <xf numFmtId="170" fontId="6" fillId="35" borderId="20" xfId="0" applyNumberFormat="1" applyFont="1" applyFill="1" applyBorder="1" applyAlignment="1">
      <alignment horizontal="left" vertical="center"/>
    </xf>
    <xf numFmtId="0" fontId="6" fillId="0" borderId="1" xfId="6" applyFont="1" applyBorder="1" applyAlignment="1">
      <alignment horizontal="left" vertical="center" wrapText="1"/>
    </xf>
    <xf numFmtId="170" fontId="6" fillId="0" borderId="1" xfId="0" applyNumberFormat="1" applyFont="1" applyBorder="1" applyAlignment="1">
      <alignment horizontal="left" vertical="center"/>
    </xf>
    <xf numFmtId="2" fontId="6" fillId="0" borderId="1" xfId="6" applyNumberFormat="1" applyFont="1" applyBorder="1" applyAlignment="1">
      <alignment horizontal="left" vertical="top"/>
    </xf>
    <xf numFmtId="0" fontId="16" fillId="0" borderId="1" xfId="6" applyFont="1" applyBorder="1" applyAlignment="1">
      <alignment horizontal="left" vertical="top"/>
    </xf>
    <xf numFmtId="2" fontId="6" fillId="0" borderId="1" xfId="6" applyNumberFormat="1" applyFont="1" applyBorder="1" applyAlignment="1">
      <alignment horizontal="left" vertical="center"/>
    </xf>
    <xf numFmtId="168" fontId="6" fillId="15" borderId="9" xfId="6" applyNumberFormat="1" applyFont="1" applyFill="1" applyBorder="1" applyAlignment="1">
      <alignment horizontal="center" vertical="top" wrapText="1"/>
    </xf>
    <xf numFmtId="168" fontId="6" fillId="15" borderId="10" xfId="6" applyNumberFormat="1" applyFont="1" applyFill="1" applyBorder="1" applyAlignment="1">
      <alignment horizontal="center" vertical="top" wrapText="1"/>
    </xf>
    <xf numFmtId="0" fontId="24" fillId="9" borderId="1" xfId="6" applyFont="1" applyFill="1" applyBorder="1" applyAlignment="1">
      <alignment horizontal="center" vertical="top"/>
    </xf>
    <xf numFmtId="170" fontId="24" fillId="9" borderId="1" xfId="6" applyNumberFormat="1" applyFont="1" applyFill="1" applyBorder="1" applyAlignment="1">
      <alignment horizontal="center" vertical="top"/>
    </xf>
    <xf numFmtId="0" fontId="18" fillId="17" borderId="1" xfId="0" applyFont="1" applyFill="1" applyBorder="1" applyAlignment="1">
      <alignment horizontal="center" vertical="top"/>
    </xf>
    <xf numFmtId="170" fontId="18" fillId="17" borderId="1" xfId="0" applyNumberFormat="1" applyFont="1" applyFill="1" applyBorder="1" applyAlignment="1">
      <alignment horizontal="center" vertical="top"/>
    </xf>
    <xf numFmtId="0" fontId="25" fillId="18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center"/>
    </xf>
    <xf numFmtId="167" fontId="8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9" fillId="0" borderId="1" xfId="5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7">
    <cellStyle name="Millares" xfId="1" builtinId="3" customBuiltin="1"/>
    <cellStyle name="Millares 6" xfId="2" xr:uid="{00000000-0005-0000-0000-000001000000}"/>
    <cellStyle name="Moneda [0] 2" xfId="3" xr:uid="{00000000-0005-0000-0000-000002000000}"/>
    <cellStyle name="Moneda 2" xfId="4" xr:uid="{00000000-0005-0000-0000-000003000000}"/>
    <cellStyle name="Normal" xfId="0" builtinId="0" customBuiltin="1"/>
    <cellStyle name="Normal 2" xfId="5" xr:uid="{00000000-0005-0000-0000-000005000000}"/>
    <cellStyle name="Normal 2 10" xfId="6" xr:uid="{00000000-0005-0000-0000-000006000000}"/>
  </cellStyles>
  <dxfs count="0"/>
  <tableStyles count="0" defaultTableStyle="TableStyleMedium2" defaultPivotStyle="PivotStyleLight16"/>
  <colors>
    <mruColors>
      <color rgb="FF99CCFF"/>
      <color rgb="FF415D3F"/>
      <color rgb="FF389B01"/>
      <color rgb="FF8426CA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21167</xdr:rowOff>
    </xdr:from>
    <xdr:to>
      <xdr:col>1</xdr:col>
      <xdr:colOff>1314451</xdr:colOff>
      <xdr:row>3</xdr:row>
      <xdr:rowOff>133350</xdr:rowOff>
    </xdr:to>
    <xdr:pic>
      <xdr:nvPicPr>
        <xdr:cNvPr id="2" name="1 Imagen" descr="logoCMCpequeño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21167"/>
          <a:ext cx="2552700" cy="683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GIOVAN~1.JIM\CONFIG~1\Temp\PRESUPUESTO%20REDES%20V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audia-8a\BARBOSA-GIRARDOTA\A.A.S.%20%20S.A\BARBOSA-GIRARDOTA\HOJA%20BASE\BASE%20DE%20PRESUPUE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ss\PMAA-Ca&#241;as%20gordas\DISE&#209;O\PMAA\CD%20Zaragoza%20Bombeo\Presupuesto\PRESUPUESTO%20DEFINITIVO%20ZARAGOZ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iova_el_mejor\cantidadesdeobra\Presuesto%20definitivo%20alcantarillad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nmedina\Compartir\Anexo%2011%20Presupuest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wvega\PROYECTOS%20EN%20EJECUCION\HLOPEZA\CANTIDADES%20GERONA\Documents%20and%20Settings\swilches\Configuraci&#243;n%20local\Archivos%20temporales%20de%20Internet\OLK6\formulario%20bas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sgallo\Proyectos%20Sandra%20Gallo\Proyectos%20varios\Valdivia\PRESUPUESTOS%20CORREGIDOS\PRESUPUESTO%20AC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eleal\HOJA%20BASE\BASE%20DE%20PRESUPUEST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wvega\PROYECTOS%20EN%20EJECUCION\AAS\BASE\HOJA%20BASE\BASE%20DE%20PRESUPUEST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wvega\PROYECTOS%20EN%20EJECUCION\Documents%20and%20Settings\jramiret\Configuraci&#243;n%20local\Archivos%20temporales%20de%20Internet\OLK119\Formularios%20%20009350%20corr%20abril%2029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carenas\Escritorio\PRESUPUESTOS%20%20febr11\Copia%20de%20BASE%20DE%20PRESUPUEST(copia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ear9\d\PROYECTOS\CORANTIOQUIA\VENECIA\1.%20DIAGNOSTICO\ALCANTARILLADO\VENECI_AA_D_IN_01%20A%204.2%20RCH%20Alcantarillad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3\d\PROYECTOS\CARAMANTA\2.%20ANTEPROYECTO\ANEXOS%20AL%20INFORME\CARAMA_AA_D_IN_1_Anexo%20x.xx%20REDES%20DE%20DISTRIBUCI&#211;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earpc8\d\PROYECTOS\BUENOS%20AIRES\DISE&#209;O\Dise&#241;o%20hidraulico%20de%20componente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wvega\PROYECTOS%20EN%20EJECUCION\Estad.%20Da&#241;os\Rendimientos_Sur%2003-00(JC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INVPROG\SIS-DA&#209;OS\Acueducto\2000\Sur\Rendimientos_Sur%2012-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dres/Dropbox/Oyd/Proyecto%20Refugio%20Domo%20Planas/PROYECTO%20HABITAT%20SIKUANI/Presupuestos/PRESUPUESTO%20SIKUANI%20CASA%20PANEL%20DE%20POLIESTILENO%20-%205%25%20utilidad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nmedina\ANORI\AAS_Neiler\ProyectosEjecutados\San_Juan_LaMaria\CD%20SAN%20JUAN%20LA%20MARIA\ANEXOS\Anexo%2014_PresupuestoSAN_JUAN_LA_MARIA-MARZ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dres/Downloads/PRESUPUESTOS%20PRESENTADOS/REVISION%20DE%20PRESUPUESTO%20OPERATIVO%20FINAL%20GENERAL%2030-NOV-2011-2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wvega\PROYECTOS%20EN%20EJECUCION\San_Juan_LaMaria\CD%20SAN%20JUAN%20LA%20MARIA\ANEXOS\Anexo%2014_PresupuestoSAN_JUAN_LA_MARIA-MARZO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audia\documentos%20c\Documents%20and%20Settings\USUARIO\Mis%20documentos\UTAA\Informe%20semanal\interventoria\13.%20Abril%2024%20-%20Informe%20Semanal%20Consultor&#237;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CARMEN/3271%20Palmitas/3271%20G1%20Presupuestos%20de%20Pozos-Palmitas%20Centra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wvega\PROYECTOS%20EN%20EJECUCION\Informes%20y%20tareas\Estad&#237;sticas%20Rendimientos\Sur\Rendimientos_Sur%20(EEPPM)%200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wvega\PROYECTOS%20EN%20EJECUCION\HLOPEZA\GERONA\CANTIDADES%20REPOSICION\SUBCIRCUITO%207\REDES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to_Sta_Rosa\BASE\HOJA%20BASE\BASE%20DE%20PRESUPUESTO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dres/Downloads/PRESUPUESTOS%20PRESENTADOS/REVISION%20DE%20PRESUPUESTO%20OPERATIVO%20FINAL%20GENERAL%2017-NOV-2011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nmedina\ANORI\AAS_Neiler\ProyectosEjecutados\SantaRosa-Aragon-\CD_Arag&#243;n\PRESUPUESTO\PresupuestoARAGON-MARZO_def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dres/Dropbox/Oyd/Proyecto%20Refugio%20Domo%20Planas/PROYECTO%20HABITAT%20SIKUANI/Presupuestos/PRESUPUESTO%20OFICINAS%20ATIS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lsonvega\PMAACAMPAMENTO\CD-CAMPAMENTO\DISE&#209;O\PRESUPUESTOS-DIS\ALCANTARILLADO\Presupuestos%20sistema%20de%20alcantarillado%20(Campamento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ss\PMAA-Ca&#241;as%20gordas\DISE&#209;O\Ppto%20Aldo%20EL%20Paraiso%20version%20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wvega\PROYECTOS%20EN%20EJECUCION\WINNT\Profiles\mvelezs\Configuraci&#243;n%20local\Archivos%20temporales%20de%20Internet\OLK295\ConsolidadoSubcircuito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mvergara\COMPARTIR\AAS%20MIGUEL\PMAA%20ITUANGO\DISE&#209;O\CANT.%20DE%20OBRA%20Y%20PPTO\PRESUPUESTO%20ALCANTARILLA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taciones"/>
      <sheetName val="BASE"/>
      <sheetName val="BASE CTOS"/>
      <sheetName val="Resumen"/>
      <sheetName val="Formato OPUS-EDU"/>
      <sheetName val="Aguas residuales"/>
      <sheetName val="Aguas lluvias"/>
      <sheetName val="Aguas lluvias reubicación"/>
      <sheetName val="Acueducto"/>
      <sheetName val="GAS"/>
      <sheetName val="APU AR ALL ACTO"/>
      <sheetName val="BASE_CTOS"/>
      <sheetName val="Formato_OPUS-EDU"/>
      <sheetName val="Aguas_residuales"/>
      <sheetName val="Aguas_lluvias"/>
      <sheetName val="Aguas_lluvias_reubicación"/>
      <sheetName val="APU_AR_ALL_ACTO"/>
      <sheetName val="BASE_CTOS1"/>
      <sheetName val="Formato_OPUS-EDU1"/>
      <sheetName val="Aguas_residuales1"/>
      <sheetName val="Aguas_lluvias1"/>
      <sheetName val="Aguas_lluvias_reubicación1"/>
      <sheetName val="APU_AR_ALL_ACTO1"/>
      <sheetName val="BASE_CTOS5"/>
      <sheetName val="Formato_OPUS-EDU5"/>
      <sheetName val="Aguas_residuales5"/>
      <sheetName val="Aguas_lluvias5"/>
      <sheetName val="Aguas_lluvias_reubicación5"/>
      <sheetName val="APU_AR_ALL_ACTO5"/>
      <sheetName val="BASE_CTOS2"/>
      <sheetName val="Formato_OPUS-EDU2"/>
      <sheetName val="Aguas_residuales2"/>
      <sheetName val="Aguas_lluvias2"/>
      <sheetName val="Aguas_lluvias_reubicación2"/>
      <sheetName val="APU_AR_ALL_ACTO2"/>
      <sheetName val="BASE_CTOS3"/>
      <sheetName val="Formato_OPUS-EDU3"/>
      <sheetName val="Aguas_residuales3"/>
      <sheetName val="Aguas_lluvias3"/>
      <sheetName val="Aguas_lluvias_reubicación3"/>
      <sheetName val="APU_AR_ALL_ACTO3"/>
      <sheetName val="BASE_CTOS4"/>
      <sheetName val="Formato_OPUS-EDU4"/>
      <sheetName val="Aguas_residuales4"/>
      <sheetName val="Aguas_lluvias4"/>
      <sheetName val="Aguas_lluvias_reubicación4"/>
      <sheetName val="APU_AR_ALL_ACTO4"/>
      <sheetName val="BASE_CTOS6"/>
      <sheetName val="Formato_OPUS-EDU6"/>
      <sheetName val="Aguas_residuales6"/>
      <sheetName val="Aguas_lluvias6"/>
      <sheetName val="Aguas_lluvias_reubicación6"/>
      <sheetName val="APU_AR_ALL_ACTO6"/>
    </sheetNames>
    <sheetDataSet>
      <sheetData sheetId="0"/>
      <sheetData sheetId="1">
        <row r="3">
          <cell r="C3">
            <v>0.3</v>
          </cell>
        </row>
        <row r="30">
          <cell r="D30">
            <v>415263.609322</v>
          </cell>
        </row>
        <row r="32">
          <cell r="D32">
            <v>336491.61778600002</v>
          </cell>
        </row>
        <row r="37">
          <cell r="D37">
            <v>266726.14633750002</v>
          </cell>
        </row>
        <row r="38">
          <cell r="D38">
            <v>202151.14633750002</v>
          </cell>
        </row>
        <row r="52">
          <cell r="D52">
            <v>1500</v>
          </cell>
        </row>
        <row r="54">
          <cell r="D54">
            <v>225000</v>
          </cell>
        </row>
        <row r="58">
          <cell r="D58">
            <v>50000</v>
          </cell>
        </row>
        <row r="66">
          <cell r="D66">
            <v>24</v>
          </cell>
        </row>
        <row r="71">
          <cell r="D71">
            <v>7820.7199999999993</v>
          </cell>
        </row>
        <row r="119">
          <cell r="D119">
            <v>3369.7999999999997</v>
          </cell>
        </row>
        <row r="138">
          <cell r="D138">
            <v>16332.8</v>
          </cell>
        </row>
        <row r="143">
          <cell r="D143">
            <v>7528.4</v>
          </cell>
        </row>
        <row r="151">
          <cell r="D151">
            <v>9969.0399999999991</v>
          </cell>
        </row>
        <row r="185">
          <cell r="D185">
            <v>53592</v>
          </cell>
        </row>
        <row r="231">
          <cell r="D231">
            <v>3028</v>
          </cell>
        </row>
        <row r="234">
          <cell r="D234">
            <v>500</v>
          </cell>
        </row>
        <row r="235">
          <cell r="D235">
            <v>56111</v>
          </cell>
        </row>
        <row r="236">
          <cell r="D236">
            <v>25657</v>
          </cell>
        </row>
        <row r="237">
          <cell r="D237">
            <v>1352.56</v>
          </cell>
        </row>
        <row r="238">
          <cell r="D238">
            <v>1487</v>
          </cell>
        </row>
        <row r="239">
          <cell r="D239">
            <v>1459</v>
          </cell>
        </row>
        <row r="240">
          <cell r="D240">
            <v>6061</v>
          </cell>
        </row>
        <row r="244">
          <cell r="D244">
            <v>15000</v>
          </cell>
        </row>
        <row r="246">
          <cell r="D246">
            <v>66000</v>
          </cell>
        </row>
        <row r="247">
          <cell r="D247">
            <v>25000</v>
          </cell>
        </row>
        <row r="248">
          <cell r="D248">
            <v>23000</v>
          </cell>
        </row>
        <row r="254">
          <cell r="D254">
            <v>12280</v>
          </cell>
        </row>
        <row r="256">
          <cell r="D256">
            <v>12070</v>
          </cell>
        </row>
        <row r="264">
          <cell r="D264">
            <v>850</v>
          </cell>
        </row>
        <row r="274">
          <cell r="D274">
            <v>13750.000000000002</v>
          </cell>
        </row>
        <row r="281">
          <cell r="D281">
            <v>139200</v>
          </cell>
        </row>
        <row r="282">
          <cell r="D282">
            <v>810</v>
          </cell>
        </row>
        <row r="290">
          <cell r="D290">
            <v>19200</v>
          </cell>
        </row>
        <row r="315">
          <cell r="D315">
            <v>96097.1</v>
          </cell>
        </row>
        <row r="347">
          <cell r="D347">
            <v>5600.0000000000009</v>
          </cell>
        </row>
        <row r="352">
          <cell r="D352">
            <v>3424012.7421499998</v>
          </cell>
        </row>
        <row r="353">
          <cell r="D353">
            <v>2009705.7421499998</v>
          </cell>
        </row>
        <row r="371">
          <cell r="D371">
            <v>1960399.9999999998</v>
          </cell>
        </row>
      </sheetData>
      <sheetData sheetId="2">
        <row r="16">
          <cell r="B16">
            <v>307091.61778600002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6">
          <cell r="B16">
            <v>307091.61778600002</v>
          </cell>
        </row>
        <row r="33">
          <cell r="B33">
            <v>320006.61778600002</v>
          </cell>
        </row>
        <row r="50">
          <cell r="B50">
            <v>336491.61778600002</v>
          </cell>
        </row>
        <row r="67">
          <cell r="B67">
            <v>385695.609322</v>
          </cell>
        </row>
        <row r="84">
          <cell r="B84">
            <v>415263.609322</v>
          </cell>
        </row>
        <row r="101">
          <cell r="B101">
            <v>307151.14633749996</v>
          </cell>
        </row>
        <row r="116">
          <cell r="B116">
            <v>266726.14633750002</v>
          </cell>
        </row>
        <row r="131">
          <cell r="B131">
            <v>202151.14633750002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6">
          <cell r="B16">
            <v>307091.61778600002</v>
          </cell>
        </row>
      </sheetData>
      <sheetData sheetId="24"/>
      <sheetData sheetId="25"/>
      <sheetData sheetId="26"/>
      <sheetData sheetId="27"/>
      <sheetData sheetId="28"/>
      <sheetData sheetId="29">
        <row r="16">
          <cell r="B16">
            <v>307091.61778600002</v>
          </cell>
        </row>
      </sheetData>
      <sheetData sheetId="30"/>
      <sheetData sheetId="31"/>
      <sheetData sheetId="32"/>
      <sheetData sheetId="33"/>
      <sheetData sheetId="34"/>
      <sheetData sheetId="35">
        <row r="16">
          <cell r="B16">
            <v>307091.61778600002</v>
          </cell>
        </row>
      </sheetData>
      <sheetData sheetId="36"/>
      <sheetData sheetId="37"/>
      <sheetData sheetId="38"/>
      <sheetData sheetId="39"/>
      <sheetData sheetId="40"/>
      <sheetData sheetId="41">
        <row r="16">
          <cell r="B16">
            <v>307091.61778600002</v>
          </cell>
        </row>
      </sheetData>
      <sheetData sheetId="42"/>
      <sheetData sheetId="43"/>
      <sheetData sheetId="44"/>
      <sheetData sheetId="45"/>
      <sheetData sheetId="46"/>
      <sheetData sheetId="47">
        <row r="16">
          <cell r="B16">
            <v>307091.61778600002</v>
          </cell>
        </row>
      </sheetData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BASE CTOS"/>
      <sheetName val="PRELIM"/>
      <sheetName val="TUBERIA"/>
      <sheetName val="EXCAVA"/>
      <sheetName val="BASE_CTOS"/>
      <sheetName val="BASE_CTOS1"/>
      <sheetName val="BASE_CTOS5"/>
      <sheetName val="BASE_CTOS2"/>
      <sheetName val="BASE_CTOS3"/>
      <sheetName val="BASE_CTOS4"/>
      <sheetName val="BASE_CTOS6"/>
    </sheetNames>
    <sheetDataSet>
      <sheetData sheetId="0" refreshError="1">
        <row r="114">
          <cell r="D114">
            <v>24368.12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BASE CTOS"/>
      <sheetName val="SEPARADORAS"/>
      <sheetName val="RESUMEN GENERAL OBRAS"/>
      <sheetName val="CAPTACIÓN"/>
      <sheetName val="APU CAPTACION"/>
      <sheetName val="DESARENADOR"/>
      <sheetName val="APU DESARENDOR"/>
      <sheetName val="ADUCCION"/>
      <sheetName val="APU ADUCCION"/>
      <sheetName val="POZO "/>
      <sheetName val="APU POZO"/>
      <sheetName val="CASETA"/>
      <sheetName val="APU CASETA"/>
      <sheetName val="SIS. BOMBEO"/>
      <sheetName val="APU SIST BOMBEO"/>
      <sheetName val="SIS. ELECTRICO"/>
      <sheetName val="APU SIS. ELECTRICO"/>
      <sheetName val="BASE_CTOS"/>
      <sheetName val="RESUMEN_GENERAL_OBRAS"/>
      <sheetName val="APU_CAPTACION"/>
      <sheetName val="APU_DESARENDOR"/>
      <sheetName val="APU_ADUCCION"/>
      <sheetName val="POZO_"/>
      <sheetName val="APU_POZO"/>
      <sheetName val="APU_CASETA"/>
      <sheetName val="SIS__BOMBEO"/>
      <sheetName val="APU_SIST_BOMBEO"/>
      <sheetName val="SIS__ELECTRICO"/>
      <sheetName val="APU_SIS__ELECTRICO"/>
      <sheetName val="BASE_CTOS1"/>
      <sheetName val="RESUMEN_GENERAL_OBRAS1"/>
      <sheetName val="APU_CAPTACION1"/>
      <sheetName val="APU_DESARENDOR1"/>
      <sheetName val="APU_ADUCCION1"/>
      <sheetName val="POZO_1"/>
      <sheetName val="APU_POZO1"/>
      <sheetName val="APU_CASETA1"/>
      <sheetName val="SIS__BOMBEO1"/>
      <sheetName val="APU_SIST_BOMBEO1"/>
      <sheetName val="SIS__ELECTRICO1"/>
      <sheetName val="APU_SIS__ELECTRICO1"/>
      <sheetName val="BASE_CTOS5"/>
      <sheetName val="RESUMEN_GENERAL_OBRAS5"/>
      <sheetName val="APU_CAPTACION5"/>
      <sheetName val="APU_DESARENDOR5"/>
      <sheetName val="APU_ADUCCION5"/>
      <sheetName val="POZO_5"/>
      <sheetName val="APU_POZO5"/>
      <sheetName val="APU_CASETA5"/>
      <sheetName val="SIS__BOMBEO5"/>
      <sheetName val="APU_SIST_BOMBEO5"/>
      <sheetName val="SIS__ELECTRICO5"/>
      <sheetName val="APU_SIS__ELECTRICO5"/>
      <sheetName val="BASE_CTOS2"/>
      <sheetName val="RESUMEN_GENERAL_OBRAS2"/>
      <sheetName val="APU_CAPTACION2"/>
      <sheetName val="APU_DESARENDOR2"/>
      <sheetName val="APU_ADUCCION2"/>
      <sheetName val="POZO_2"/>
      <sheetName val="APU_POZO2"/>
      <sheetName val="APU_CASETA2"/>
      <sheetName val="SIS__BOMBEO2"/>
      <sheetName val="APU_SIST_BOMBEO2"/>
      <sheetName val="SIS__ELECTRICO2"/>
      <sheetName val="APU_SIS__ELECTRICO2"/>
      <sheetName val="BASE_CTOS3"/>
      <sheetName val="RESUMEN_GENERAL_OBRAS3"/>
      <sheetName val="APU_CAPTACION3"/>
      <sheetName val="APU_DESARENDOR3"/>
      <sheetName val="APU_ADUCCION3"/>
      <sheetName val="POZO_3"/>
      <sheetName val="APU_POZO3"/>
      <sheetName val="APU_CASETA3"/>
      <sheetName val="SIS__BOMBEO3"/>
      <sheetName val="APU_SIST_BOMBEO3"/>
      <sheetName val="SIS__ELECTRICO3"/>
      <sheetName val="APU_SIS__ELECTRICO3"/>
      <sheetName val="BASE_CTOS4"/>
      <sheetName val="RESUMEN_GENERAL_OBRAS4"/>
      <sheetName val="APU_CAPTACION4"/>
      <sheetName val="APU_DESARENDOR4"/>
      <sheetName val="APU_ADUCCION4"/>
      <sheetName val="POZO_4"/>
      <sheetName val="APU_POZO4"/>
      <sheetName val="APU_CASETA4"/>
      <sheetName val="SIS__BOMBEO4"/>
      <sheetName val="APU_SIST_BOMBEO4"/>
      <sheetName val="SIS__ELECTRICO4"/>
      <sheetName val="APU_SIS__ELECTRICO4"/>
      <sheetName val="BASE_CTOS6"/>
      <sheetName val="RESUMEN_GENERAL_OBRAS6"/>
      <sheetName val="APU_CAPTACION6"/>
      <sheetName val="APU_DESARENDOR6"/>
      <sheetName val="APU_ADUCCION6"/>
      <sheetName val="POZO_6"/>
      <sheetName val="APU_POZO6"/>
      <sheetName val="APU_CASETA6"/>
      <sheetName val="SIS__BOMBEO6"/>
      <sheetName val="APU_SIST_BOMBEO6"/>
      <sheetName val="SIS__ELECTRICO6"/>
      <sheetName val="APU_SIS__ELECTRICO6"/>
    </sheetNames>
    <sheetDataSet>
      <sheetData sheetId="0">
        <row r="5">
          <cell r="C5">
            <v>0.1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U"/>
      <sheetName val="PRESTA"/>
      <sheetName val="BASE"/>
      <sheetName val="Red Los Balsos"/>
      <sheetName val="Red El Edén"/>
      <sheetName val="Red Principal"/>
      <sheetName val="APU"/>
      <sheetName val="BASE CTOS"/>
      <sheetName val="Red_Los_Balsos"/>
      <sheetName val="Red_El_Edén"/>
      <sheetName val="Red_Principal"/>
      <sheetName val="BASE_CTOS"/>
      <sheetName val="Red_Los_Balsos1"/>
      <sheetName val="Red_El_Edén1"/>
      <sheetName val="Red_Principal1"/>
      <sheetName val="BASE_CTOS1"/>
      <sheetName val="Red_Los_Balsos5"/>
      <sheetName val="Red_El_Edén5"/>
      <sheetName val="Red_Principal5"/>
      <sheetName val="BASE_CTOS5"/>
      <sheetName val="Red_Los_Balsos2"/>
      <sheetName val="Red_El_Edén2"/>
      <sheetName val="Red_Principal2"/>
      <sheetName val="BASE_CTOS2"/>
      <sheetName val="Red_Los_Balsos3"/>
      <sheetName val="Red_El_Edén3"/>
      <sheetName val="Red_Principal3"/>
      <sheetName val="BASE_CTOS3"/>
      <sheetName val="Red_Los_Balsos4"/>
      <sheetName val="Red_El_Edén4"/>
      <sheetName val="Red_Principal4"/>
      <sheetName val="BASE_CTOS4"/>
      <sheetName val="Red_Los_Balsos6"/>
      <sheetName val="Red_El_Edén6"/>
      <sheetName val="Red_Principal6"/>
      <sheetName val="BASE_CTOS6"/>
    </sheetNames>
    <sheetDataSet>
      <sheetData sheetId="0"/>
      <sheetData sheetId="1">
        <row r="13">
          <cell r="D13">
            <v>433700</v>
          </cell>
        </row>
      </sheetData>
      <sheetData sheetId="2" refreshError="1">
        <row r="3">
          <cell r="C3">
            <v>0.22</v>
          </cell>
        </row>
        <row r="8">
          <cell r="D8">
            <v>0.6</v>
          </cell>
        </row>
        <row r="11">
          <cell r="D11">
            <v>48000</v>
          </cell>
        </row>
        <row r="12">
          <cell r="D12">
            <v>32000</v>
          </cell>
        </row>
        <row r="13">
          <cell r="D13">
            <v>23200</v>
          </cell>
        </row>
        <row r="14">
          <cell r="D14">
            <v>330000</v>
          </cell>
        </row>
        <row r="15">
          <cell r="D15">
            <v>117600</v>
          </cell>
        </row>
        <row r="16">
          <cell r="D16">
            <v>60000</v>
          </cell>
        </row>
        <row r="17">
          <cell r="D17">
            <v>358</v>
          </cell>
        </row>
        <row r="23">
          <cell r="D23">
            <v>2465</v>
          </cell>
        </row>
        <row r="24">
          <cell r="D24">
            <v>2354.7999999999997</v>
          </cell>
        </row>
        <row r="27">
          <cell r="D27">
            <v>2100</v>
          </cell>
        </row>
        <row r="28">
          <cell r="D28">
            <v>74000</v>
          </cell>
        </row>
        <row r="29">
          <cell r="D29">
            <v>28000</v>
          </cell>
        </row>
        <row r="35">
          <cell r="D35">
            <v>293497.89999999997</v>
          </cell>
        </row>
        <row r="37">
          <cell r="D37">
            <v>260609.5</v>
          </cell>
        </row>
        <row r="40">
          <cell r="D40">
            <v>299667</v>
          </cell>
        </row>
        <row r="49">
          <cell r="D49">
            <v>5500</v>
          </cell>
        </row>
        <row r="50">
          <cell r="D50">
            <v>16200</v>
          </cell>
        </row>
        <row r="51">
          <cell r="D51">
            <v>74800</v>
          </cell>
        </row>
        <row r="52">
          <cell r="D52">
            <v>33600</v>
          </cell>
        </row>
        <row r="53">
          <cell r="D53">
            <v>74800</v>
          </cell>
        </row>
        <row r="54">
          <cell r="D54">
            <v>74800</v>
          </cell>
        </row>
        <row r="55">
          <cell r="D55">
            <v>21000</v>
          </cell>
        </row>
        <row r="57">
          <cell r="D57">
            <v>45000</v>
          </cell>
        </row>
        <row r="60">
          <cell r="D60">
            <v>20000</v>
          </cell>
        </row>
        <row r="69">
          <cell r="D69">
            <v>1634</v>
          </cell>
        </row>
        <row r="166">
          <cell r="D166">
            <v>34587.72</v>
          </cell>
        </row>
        <row r="185">
          <cell r="D185">
            <v>35195.56</v>
          </cell>
        </row>
        <row r="186">
          <cell r="D186">
            <v>51773.119999999995</v>
          </cell>
        </row>
        <row r="187">
          <cell r="D187">
            <v>73408.28</v>
          </cell>
        </row>
        <row r="188">
          <cell r="D188">
            <v>115808.59999999999</v>
          </cell>
        </row>
        <row r="189">
          <cell r="D189">
            <v>151306.91999999998</v>
          </cell>
        </row>
        <row r="190">
          <cell r="D190">
            <v>181408.91999999998</v>
          </cell>
        </row>
        <row r="218">
          <cell r="D218">
            <v>74466.2</v>
          </cell>
        </row>
        <row r="219">
          <cell r="D219">
            <v>150543.63999999998</v>
          </cell>
        </row>
        <row r="220">
          <cell r="D220">
            <v>228690.52</v>
          </cell>
        </row>
        <row r="221">
          <cell r="D221">
            <v>146354.87999999998</v>
          </cell>
        </row>
        <row r="222">
          <cell r="D222">
            <v>269281.24</v>
          </cell>
        </row>
        <row r="237">
          <cell r="D237">
            <v>96725.439999999988</v>
          </cell>
        </row>
        <row r="238">
          <cell r="D238">
            <v>60553.159999999996</v>
          </cell>
        </row>
        <row r="242">
          <cell r="D242">
            <v>189399</v>
          </cell>
        </row>
        <row r="243">
          <cell r="D243">
            <v>385131.6</v>
          </cell>
        </row>
        <row r="328">
          <cell r="D328">
            <v>4525</v>
          </cell>
        </row>
        <row r="331">
          <cell r="D331">
            <v>140</v>
          </cell>
        </row>
        <row r="408">
          <cell r="D408">
            <v>6669.9999999999991</v>
          </cell>
        </row>
        <row r="409">
          <cell r="D409">
            <v>53359.999999999993</v>
          </cell>
        </row>
        <row r="410">
          <cell r="D410">
            <v>70000</v>
          </cell>
        </row>
        <row r="411">
          <cell r="D411">
            <v>7539.9999999999991</v>
          </cell>
        </row>
        <row r="412">
          <cell r="D412">
            <v>28999.999999999996</v>
          </cell>
        </row>
        <row r="413">
          <cell r="D413">
            <v>41760</v>
          </cell>
        </row>
        <row r="414">
          <cell r="D414">
            <v>38280</v>
          </cell>
        </row>
        <row r="415">
          <cell r="D415">
            <v>35960</v>
          </cell>
        </row>
        <row r="423">
          <cell r="D423">
            <v>3000</v>
          </cell>
        </row>
        <row r="424">
          <cell r="D424">
            <v>8500</v>
          </cell>
        </row>
        <row r="426">
          <cell r="D426">
            <v>2500</v>
          </cell>
        </row>
        <row r="427">
          <cell r="D427">
            <v>10000</v>
          </cell>
        </row>
        <row r="430">
          <cell r="D430">
            <v>719.19999999999993</v>
          </cell>
        </row>
        <row r="432">
          <cell r="D432">
            <v>5000</v>
          </cell>
        </row>
        <row r="433">
          <cell r="D433">
            <v>33640</v>
          </cell>
        </row>
        <row r="443">
          <cell r="D443">
            <v>9100</v>
          </cell>
        </row>
        <row r="444">
          <cell r="D444">
            <v>15000</v>
          </cell>
        </row>
        <row r="445">
          <cell r="D445">
            <v>5000</v>
          </cell>
        </row>
        <row r="446">
          <cell r="D446">
            <v>860000</v>
          </cell>
        </row>
        <row r="447">
          <cell r="D447">
            <v>10143</v>
          </cell>
        </row>
        <row r="448">
          <cell r="D448">
            <v>30000</v>
          </cell>
        </row>
        <row r="452">
          <cell r="D452">
            <v>51805.599999999999</v>
          </cell>
        </row>
        <row r="453">
          <cell r="D453">
            <v>10</v>
          </cell>
        </row>
        <row r="454">
          <cell r="D454">
            <v>6050.0000000000009</v>
          </cell>
        </row>
        <row r="455">
          <cell r="D455">
            <v>2788</v>
          </cell>
        </row>
        <row r="456">
          <cell r="D456">
            <v>250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U"/>
      <sheetName val="PRESTA"/>
      <sheetName val="BASE"/>
      <sheetName val="BASE CTOS"/>
      <sheetName val="RESUMEN OBRAS "/>
      <sheetName val="ResumenGeneral"/>
      <sheetName val="1 BOCATOMAS VOLCAN"/>
      <sheetName val="1 APU BOCATOMA VOLCAN"/>
      <sheetName val="2 ADUCCIÓN VOLCAN"/>
      <sheetName val="2 APU ADUCCIÓN VOLCAN"/>
      <sheetName val="3 DESARENADOR VOLCAN"/>
      <sheetName val="3 APU DESARENADOR VOLCAN"/>
      <sheetName val="4 PLANTA DE TRATAMIENTO VOLCAN"/>
      <sheetName val="4 APU PLANTA DE TRATAMIENTO"/>
      <sheetName val="5 TANQUE DE ALMACENAMIENTO VOLC"/>
      <sheetName val="5 APU TANQUE DE ALMACENAMIENTO"/>
      <sheetName val="6  REDES DE DISTRI VOLCAN"/>
      <sheetName val="6 APU REDES VOLCAN"/>
      <sheetName val="7 BOCATOMAS MORRO"/>
      <sheetName val="7 APU BOCATOMAS MORRO"/>
      <sheetName val="8 ADUCCIÓN MORRO"/>
      <sheetName val="8 APU ADUCCIÓN MORRO"/>
      <sheetName val="9 DESARENADOR MORRO"/>
      <sheetName val="9 APU DESARENADOR MORRO"/>
      <sheetName val="10 PLANTA DE TRATAMIENTO MORRO"/>
      <sheetName val="10 APU PTAP MORRO"/>
      <sheetName val="11 TAL MORRO"/>
      <sheetName val="11 APU TAL MORRO"/>
      <sheetName val="12  REDES DE DISTRI MORRO"/>
      <sheetName val="12 APU REDES MORRO"/>
      <sheetName val="BASE_CTOS"/>
      <sheetName val="RESUMEN_OBRAS_"/>
      <sheetName val="1_BOCATOMAS_VOLCAN"/>
      <sheetName val="1_APU_BOCATOMA_VOLCAN"/>
      <sheetName val="2_ADUCCIÓN_VOLCAN"/>
      <sheetName val="2_APU_ADUCCIÓN_VOLCAN"/>
      <sheetName val="3_DESARENADOR_VOLCAN"/>
      <sheetName val="3_APU_DESARENADOR_VOLCAN"/>
      <sheetName val="4_PLANTA_DE_TRATAMIENTO_VOLCAN"/>
      <sheetName val="4_APU_PLANTA_DE_TRATAMIENTO"/>
      <sheetName val="5_TANQUE_DE_ALMACENAMIENTO_VOLC"/>
      <sheetName val="5_APU_TANQUE_DE_ALMACENAMIENTO"/>
      <sheetName val="6__REDES_DE_DISTRI_VOLCAN"/>
      <sheetName val="6_APU_REDES_VOLCAN"/>
      <sheetName val="7_BOCATOMAS_MORRO"/>
      <sheetName val="7_APU_BOCATOMAS_MORRO"/>
      <sheetName val="8_ADUCCIÓN_MORRO"/>
      <sheetName val="8_APU_ADUCCIÓN_MORRO"/>
      <sheetName val="9_DESARENADOR_MORRO"/>
      <sheetName val="9_APU_DESARENADOR_MORRO"/>
      <sheetName val="10_PLANTA_DE_TRATAMIENTO_MORRO"/>
      <sheetName val="10_APU_PTAP_MORRO"/>
      <sheetName val="11_TAL_MORRO"/>
      <sheetName val="11_APU_TAL_MORRO"/>
      <sheetName val="12__REDES_DE_DISTRI_MORRO"/>
      <sheetName val="12_APU_REDES_MORRO"/>
      <sheetName val="BASE_CTOS1"/>
      <sheetName val="RESUMEN_OBRAS_1"/>
      <sheetName val="1_BOCATOMAS_VOLCAN1"/>
      <sheetName val="1_APU_BOCATOMA_VOLCAN1"/>
      <sheetName val="2_ADUCCIÓN_VOLCAN1"/>
      <sheetName val="2_APU_ADUCCIÓN_VOLCAN1"/>
      <sheetName val="3_DESARENADOR_VOLCAN1"/>
      <sheetName val="3_APU_DESARENADOR_VOLCAN1"/>
      <sheetName val="4_PLANTA_DE_TRATAMIENTO_VOLCAN1"/>
      <sheetName val="4_APU_PLANTA_DE_TRATAMIENTO1"/>
      <sheetName val="5_TANQUE_DE_ALMACENAMIENTO_VOL1"/>
      <sheetName val="5_APU_TANQUE_DE_ALMACENAMIENTO1"/>
      <sheetName val="6__REDES_DE_DISTRI_VOLCAN1"/>
      <sheetName val="6_APU_REDES_VOLCAN1"/>
      <sheetName val="7_BOCATOMAS_MORRO1"/>
      <sheetName val="7_APU_BOCATOMAS_MORRO1"/>
      <sheetName val="8_ADUCCIÓN_MORRO1"/>
      <sheetName val="8_APU_ADUCCIÓN_MORRO1"/>
      <sheetName val="9_DESARENADOR_MORRO1"/>
      <sheetName val="9_APU_DESARENADOR_MORRO1"/>
      <sheetName val="10_PLANTA_DE_TRATAMIENTO_MORRO1"/>
      <sheetName val="10_APU_PTAP_MORRO1"/>
      <sheetName val="11_TAL_MORRO1"/>
      <sheetName val="11_APU_TAL_MORRO1"/>
      <sheetName val="12__REDES_DE_DISTRI_MORRO1"/>
      <sheetName val="12_APU_REDES_MORRO1"/>
      <sheetName val="BASE_CTOS5"/>
      <sheetName val="RESUMEN_OBRAS_5"/>
      <sheetName val="1_BOCATOMAS_VOLCAN5"/>
      <sheetName val="1_APU_BOCATOMA_VOLCAN5"/>
      <sheetName val="2_ADUCCIÓN_VOLCAN5"/>
      <sheetName val="2_APU_ADUCCIÓN_VOLCAN5"/>
      <sheetName val="3_DESARENADOR_VOLCAN5"/>
      <sheetName val="3_APU_DESARENADOR_VOLCAN5"/>
      <sheetName val="4_PLANTA_DE_TRATAMIENTO_VOLCAN5"/>
      <sheetName val="4_APU_PLANTA_DE_TRATAMIENTO5"/>
      <sheetName val="5_TANQUE_DE_ALMACENAMIENTO_VOL5"/>
      <sheetName val="5_APU_TANQUE_DE_ALMACENAMIENTO5"/>
      <sheetName val="6__REDES_DE_DISTRI_VOLCAN5"/>
      <sheetName val="6_APU_REDES_VOLCAN5"/>
      <sheetName val="7_BOCATOMAS_MORRO5"/>
      <sheetName val="7_APU_BOCATOMAS_MORRO5"/>
      <sheetName val="8_ADUCCIÓN_MORRO5"/>
      <sheetName val="8_APU_ADUCCIÓN_MORRO5"/>
      <sheetName val="9_DESARENADOR_MORRO5"/>
      <sheetName val="9_APU_DESARENADOR_MORRO5"/>
      <sheetName val="10_PLANTA_DE_TRATAMIENTO_MORRO5"/>
      <sheetName val="10_APU_PTAP_MORRO5"/>
      <sheetName val="11_TAL_MORRO5"/>
      <sheetName val="11_APU_TAL_MORRO5"/>
      <sheetName val="12__REDES_DE_DISTRI_MORRO5"/>
      <sheetName val="12_APU_REDES_MORRO5"/>
      <sheetName val="BASE_CTOS2"/>
      <sheetName val="RESUMEN_OBRAS_2"/>
      <sheetName val="1_BOCATOMAS_VOLCAN2"/>
      <sheetName val="1_APU_BOCATOMA_VOLCAN2"/>
      <sheetName val="2_ADUCCIÓN_VOLCAN2"/>
      <sheetName val="2_APU_ADUCCIÓN_VOLCAN2"/>
      <sheetName val="3_DESARENADOR_VOLCAN2"/>
      <sheetName val="3_APU_DESARENADOR_VOLCAN2"/>
      <sheetName val="4_PLANTA_DE_TRATAMIENTO_VOLCAN2"/>
      <sheetName val="4_APU_PLANTA_DE_TRATAMIENTO2"/>
      <sheetName val="5_TANQUE_DE_ALMACENAMIENTO_VOL2"/>
      <sheetName val="5_APU_TANQUE_DE_ALMACENAMIENTO2"/>
      <sheetName val="6__REDES_DE_DISTRI_VOLCAN2"/>
      <sheetName val="6_APU_REDES_VOLCAN2"/>
      <sheetName val="7_BOCATOMAS_MORRO2"/>
      <sheetName val="7_APU_BOCATOMAS_MORRO2"/>
      <sheetName val="8_ADUCCIÓN_MORRO2"/>
      <sheetName val="8_APU_ADUCCIÓN_MORRO2"/>
      <sheetName val="9_DESARENADOR_MORRO2"/>
      <sheetName val="9_APU_DESARENADOR_MORRO2"/>
      <sheetName val="10_PLANTA_DE_TRATAMIENTO_MORRO2"/>
      <sheetName val="10_APU_PTAP_MORRO2"/>
      <sheetName val="11_TAL_MORRO2"/>
      <sheetName val="11_APU_TAL_MORRO2"/>
      <sheetName val="12__REDES_DE_DISTRI_MORRO2"/>
      <sheetName val="12_APU_REDES_MORRO2"/>
      <sheetName val="BASE_CTOS3"/>
      <sheetName val="RESUMEN_OBRAS_3"/>
      <sheetName val="1_BOCATOMAS_VOLCAN3"/>
      <sheetName val="1_APU_BOCATOMA_VOLCAN3"/>
      <sheetName val="2_ADUCCIÓN_VOLCAN3"/>
      <sheetName val="2_APU_ADUCCIÓN_VOLCAN3"/>
      <sheetName val="3_DESARENADOR_VOLCAN3"/>
      <sheetName val="3_APU_DESARENADOR_VOLCAN3"/>
      <sheetName val="4_PLANTA_DE_TRATAMIENTO_VOLCAN3"/>
      <sheetName val="4_APU_PLANTA_DE_TRATAMIENTO3"/>
      <sheetName val="5_TANQUE_DE_ALMACENAMIENTO_VOL3"/>
      <sheetName val="5_APU_TANQUE_DE_ALMACENAMIENTO3"/>
      <sheetName val="6__REDES_DE_DISTRI_VOLCAN3"/>
      <sheetName val="6_APU_REDES_VOLCAN3"/>
      <sheetName val="7_BOCATOMAS_MORRO3"/>
      <sheetName val="7_APU_BOCATOMAS_MORRO3"/>
      <sheetName val="8_ADUCCIÓN_MORRO3"/>
      <sheetName val="8_APU_ADUCCIÓN_MORRO3"/>
      <sheetName val="9_DESARENADOR_MORRO3"/>
      <sheetName val="9_APU_DESARENADOR_MORRO3"/>
      <sheetName val="10_PLANTA_DE_TRATAMIENTO_MORRO3"/>
      <sheetName val="10_APU_PTAP_MORRO3"/>
      <sheetName val="11_TAL_MORRO3"/>
      <sheetName val="11_APU_TAL_MORRO3"/>
      <sheetName val="12__REDES_DE_DISTRI_MORRO3"/>
      <sheetName val="12_APU_REDES_MORRO3"/>
      <sheetName val="BASE_CTOS4"/>
      <sheetName val="RESUMEN_OBRAS_4"/>
      <sheetName val="1_BOCATOMAS_VOLCAN4"/>
      <sheetName val="1_APU_BOCATOMA_VOLCAN4"/>
      <sheetName val="2_ADUCCIÓN_VOLCAN4"/>
      <sheetName val="2_APU_ADUCCIÓN_VOLCAN4"/>
      <sheetName val="3_DESARENADOR_VOLCAN4"/>
      <sheetName val="3_APU_DESARENADOR_VOLCAN4"/>
      <sheetName val="4_PLANTA_DE_TRATAMIENTO_VOLCAN4"/>
      <sheetName val="4_APU_PLANTA_DE_TRATAMIENTO4"/>
      <sheetName val="5_TANQUE_DE_ALMACENAMIENTO_VOL4"/>
      <sheetName val="5_APU_TANQUE_DE_ALMACENAMIENTO4"/>
      <sheetName val="6__REDES_DE_DISTRI_VOLCAN4"/>
      <sheetName val="6_APU_REDES_VOLCAN4"/>
      <sheetName val="7_BOCATOMAS_MORRO4"/>
      <sheetName val="7_APU_BOCATOMAS_MORRO4"/>
      <sheetName val="8_ADUCCIÓN_MORRO4"/>
      <sheetName val="8_APU_ADUCCIÓN_MORRO4"/>
      <sheetName val="9_DESARENADOR_MORRO4"/>
      <sheetName val="9_APU_DESARENADOR_MORRO4"/>
      <sheetName val="10_PLANTA_DE_TRATAMIENTO_MORRO4"/>
      <sheetName val="10_APU_PTAP_MORRO4"/>
      <sheetName val="11_TAL_MORRO4"/>
      <sheetName val="11_APU_TAL_MORRO4"/>
      <sheetName val="12__REDES_DE_DISTRI_MORRO4"/>
      <sheetName val="12_APU_REDES_MORRO4"/>
      <sheetName val="BASE_CTOS6"/>
      <sheetName val="RESUMEN_OBRAS_6"/>
      <sheetName val="1_BOCATOMAS_VOLCAN6"/>
      <sheetName val="1_APU_BOCATOMA_VOLCAN6"/>
      <sheetName val="2_ADUCCIÓN_VOLCAN6"/>
      <sheetName val="2_APU_ADUCCIÓN_VOLCAN6"/>
      <sheetName val="3_DESARENADOR_VOLCAN6"/>
      <sheetName val="3_APU_DESARENADOR_VOLCAN6"/>
      <sheetName val="4_PLANTA_DE_TRATAMIENTO_VOLCAN6"/>
      <sheetName val="4_APU_PLANTA_DE_TRATAMIENTO6"/>
      <sheetName val="5_TANQUE_DE_ALMACENAMIENTO_VOL6"/>
      <sheetName val="5_APU_TANQUE_DE_ALMACENAMIENTO6"/>
      <sheetName val="6__REDES_DE_DISTRI_VOLCAN6"/>
      <sheetName val="6_APU_REDES_VOLCAN6"/>
      <sheetName val="7_BOCATOMAS_MORRO6"/>
      <sheetName val="7_APU_BOCATOMAS_MORRO6"/>
      <sheetName val="8_ADUCCIÓN_MORRO6"/>
      <sheetName val="8_APU_ADUCCIÓN_MORRO6"/>
      <sheetName val="9_DESARENADOR_MORRO6"/>
      <sheetName val="9_APU_DESARENADOR_MORRO6"/>
      <sheetName val="10_PLANTA_DE_TRATAMIENTO_MORRO6"/>
      <sheetName val="10_APU_PTAP_MORRO6"/>
      <sheetName val="11_TAL_MORRO6"/>
      <sheetName val="11_APU_TAL_MORRO6"/>
      <sheetName val="12__REDES_DE_DISTRI_MORRO6"/>
      <sheetName val="12_APU_REDES_MORRO6"/>
    </sheetNames>
    <sheetDataSet>
      <sheetData sheetId="0" refreshError="1"/>
      <sheetData sheetId="1" refreshError="1"/>
      <sheetData sheetId="2" refreshError="1">
        <row r="145">
          <cell r="D145">
            <v>8297.48</v>
          </cell>
        </row>
        <row r="146">
          <cell r="D146">
            <v>17264.28</v>
          </cell>
        </row>
        <row r="391">
          <cell r="D391">
            <v>4000</v>
          </cell>
        </row>
        <row r="455">
          <cell r="D455">
            <v>69599.999999999985</v>
          </cell>
        </row>
        <row r="457">
          <cell r="D457">
            <v>19720</v>
          </cell>
        </row>
        <row r="471">
          <cell r="D471">
            <v>6704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c de Hidr."/>
      <sheetName val="Cambio de Valv."/>
      <sheetName val="Interc.tapones"/>
      <sheetName val="Interc.válv."/>
      <sheetName val="Coloc. e Interc. Tapones"/>
      <sheetName val="Varios."/>
      <sheetName val="Paral. 1"/>
      <sheetName val="Paral. 2"/>
      <sheetName val="Paral. 3"/>
      <sheetName val="Paral.4"/>
      <sheetName val="Totales"/>
      <sheetName val="Interc_de_Hidr_"/>
      <sheetName val="Cambio_de_Valv_"/>
      <sheetName val="Interc_tapones"/>
      <sheetName val="Interc_válv_"/>
      <sheetName val="Coloc__e_Interc__Tapones"/>
      <sheetName val="Varios_"/>
      <sheetName val="Paral__1"/>
      <sheetName val="Paral__2"/>
      <sheetName val="Paral__3"/>
      <sheetName val="Paral_4"/>
      <sheetName val="Interc_de_Hidr_1"/>
      <sheetName val="Cambio_de_Valv_1"/>
      <sheetName val="Interc_tapones1"/>
      <sheetName val="Interc_válv_1"/>
      <sheetName val="Coloc__e_Interc__Tapones1"/>
      <sheetName val="Varios_1"/>
      <sheetName val="Paral__11"/>
      <sheetName val="Paral__21"/>
      <sheetName val="Paral__31"/>
      <sheetName val="Paral_41"/>
      <sheetName val="Interc_de_Hidr_5"/>
      <sheetName val="Cambio_de_Valv_5"/>
      <sheetName val="Interc_tapones5"/>
      <sheetName val="Interc_válv_5"/>
      <sheetName val="Coloc__e_Interc__Tapones5"/>
      <sheetName val="Varios_5"/>
      <sheetName val="Paral__15"/>
      <sheetName val="Paral__25"/>
      <sheetName val="Paral__35"/>
      <sheetName val="Paral_45"/>
      <sheetName val="Interc_de_Hidr_2"/>
      <sheetName val="Cambio_de_Valv_2"/>
      <sheetName val="Interc_tapones2"/>
      <sheetName val="Interc_válv_2"/>
      <sheetName val="Coloc__e_Interc__Tapones2"/>
      <sheetName val="Varios_2"/>
      <sheetName val="Paral__12"/>
      <sheetName val="Paral__22"/>
      <sheetName val="Paral__32"/>
      <sheetName val="Paral_42"/>
      <sheetName val="Interc_de_Hidr_3"/>
      <sheetName val="Cambio_de_Valv_3"/>
      <sheetName val="Interc_tapones3"/>
      <sheetName val="Interc_válv_3"/>
      <sheetName val="Coloc__e_Interc__Tapones3"/>
      <sheetName val="Varios_3"/>
      <sheetName val="Paral__13"/>
      <sheetName val="Paral__23"/>
      <sheetName val="Paral__33"/>
      <sheetName val="Paral_43"/>
      <sheetName val="Interc_de_Hidr_4"/>
      <sheetName val="Cambio_de_Valv_4"/>
      <sheetName val="Interc_tapones4"/>
      <sheetName val="Interc_válv_4"/>
      <sheetName val="Coloc__e_Interc__Tapones4"/>
      <sheetName val="Varios_4"/>
      <sheetName val="Paral__14"/>
      <sheetName val="Paral__24"/>
      <sheetName val="Paral__34"/>
      <sheetName val="Paral_44"/>
      <sheetName val="Interc_de_Hidr_6"/>
      <sheetName val="Cambio_de_Valv_6"/>
      <sheetName val="Interc_tapones6"/>
      <sheetName val="Interc_válv_6"/>
      <sheetName val="Coloc__e_Interc__Tapones6"/>
      <sheetName val="Varios_6"/>
      <sheetName val="Paral__16"/>
      <sheetName val="Paral__26"/>
      <sheetName val="Paral__36"/>
      <sheetName val="Paral_4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5">
          <cell r="E5" t="str">
            <v>CANTIDAD</v>
          </cell>
        </row>
        <row r="11">
          <cell r="E11">
            <v>2.73</v>
          </cell>
        </row>
        <row r="19">
          <cell r="E19">
            <v>0.78</v>
          </cell>
        </row>
        <row r="21">
          <cell r="E21">
            <v>1</v>
          </cell>
        </row>
        <row r="35">
          <cell r="E35">
            <v>37</v>
          </cell>
        </row>
        <row r="37">
          <cell r="E37">
            <v>2</v>
          </cell>
        </row>
        <row r="49">
          <cell r="E49">
            <v>24.84</v>
          </cell>
        </row>
        <row r="53">
          <cell r="E53">
            <v>12.99</v>
          </cell>
        </row>
        <row r="55">
          <cell r="E55">
            <v>19.399999999999999</v>
          </cell>
        </row>
        <row r="57">
          <cell r="E57">
            <v>5.46</v>
          </cell>
        </row>
        <row r="65">
          <cell r="E65">
            <v>9.8000000000000007</v>
          </cell>
        </row>
        <row r="71">
          <cell r="E71">
            <v>2</v>
          </cell>
        </row>
        <row r="73">
          <cell r="E73">
            <v>2</v>
          </cell>
        </row>
        <row r="75">
          <cell r="E75">
            <v>1</v>
          </cell>
        </row>
        <row r="83">
          <cell r="E83">
            <v>3</v>
          </cell>
        </row>
        <row r="85">
          <cell r="E85">
            <v>6</v>
          </cell>
        </row>
        <row r="99">
          <cell r="E99">
            <v>1.82</v>
          </cell>
        </row>
        <row r="123">
          <cell r="E123">
            <v>0</v>
          </cell>
        </row>
        <row r="124">
          <cell r="E124">
            <v>0</v>
          </cell>
        </row>
        <row r="125">
          <cell r="E125">
            <v>0</v>
          </cell>
        </row>
        <row r="126">
          <cell r="E126">
            <v>0</v>
          </cell>
        </row>
        <row r="153">
          <cell r="E153">
            <v>6</v>
          </cell>
        </row>
        <row r="155">
          <cell r="E155">
            <v>6</v>
          </cell>
        </row>
        <row r="157">
          <cell r="E157">
            <v>3</v>
          </cell>
        </row>
        <row r="277">
          <cell r="E277">
            <v>6</v>
          </cell>
        </row>
        <row r="281">
          <cell r="E281">
            <v>6</v>
          </cell>
        </row>
        <row r="287">
          <cell r="E287">
            <v>2</v>
          </cell>
        </row>
        <row r="424">
          <cell r="E424">
            <v>14</v>
          </cell>
        </row>
        <row r="457">
          <cell r="E457">
            <v>0</v>
          </cell>
        </row>
        <row r="458">
          <cell r="E458">
            <v>0</v>
          </cell>
        </row>
        <row r="459">
          <cell r="E459">
            <v>0</v>
          </cell>
        </row>
        <row r="460">
          <cell r="E460">
            <v>0</v>
          </cell>
        </row>
        <row r="461">
          <cell r="E461">
            <v>0</v>
          </cell>
        </row>
        <row r="462">
          <cell r="E462">
            <v>0</v>
          </cell>
        </row>
        <row r="463">
          <cell r="E463">
            <v>0</v>
          </cell>
        </row>
        <row r="464">
          <cell r="E464">
            <v>0</v>
          </cell>
        </row>
        <row r="467">
          <cell r="E467">
            <v>0</v>
          </cell>
        </row>
        <row r="468">
          <cell r="E468">
            <v>0</v>
          </cell>
        </row>
        <row r="469">
          <cell r="E469">
            <v>0</v>
          </cell>
        </row>
        <row r="470">
          <cell r="E470">
            <v>0</v>
          </cell>
        </row>
        <row r="471">
          <cell r="E471">
            <v>0</v>
          </cell>
        </row>
        <row r="472">
          <cell r="E472">
            <v>0</v>
          </cell>
        </row>
        <row r="473">
          <cell r="E473">
            <v>0</v>
          </cell>
        </row>
        <row r="474">
          <cell r="E474">
            <v>0</v>
          </cell>
        </row>
        <row r="475">
          <cell r="E475">
            <v>0</v>
          </cell>
        </row>
        <row r="476">
          <cell r="E476">
            <v>0</v>
          </cell>
        </row>
        <row r="477">
          <cell r="E477">
            <v>0</v>
          </cell>
        </row>
        <row r="478">
          <cell r="E478">
            <v>0</v>
          </cell>
        </row>
        <row r="479">
          <cell r="E479">
            <v>0</v>
          </cell>
        </row>
        <row r="480">
          <cell r="E480">
            <v>0</v>
          </cell>
        </row>
        <row r="483">
          <cell r="E483">
            <v>0</v>
          </cell>
        </row>
        <row r="484">
          <cell r="E484">
            <v>0</v>
          </cell>
        </row>
        <row r="485">
          <cell r="E485">
            <v>0</v>
          </cell>
        </row>
        <row r="486">
          <cell r="E486">
            <v>0</v>
          </cell>
        </row>
        <row r="487">
          <cell r="E487">
            <v>0</v>
          </cell>
        </row>
        <row r="488">
          <cell r="E488">
            <v>0</v>
          </cell>
        </row>
        <row r="489">
          <cell r="E489">
            <v>0</v>
          </cell>
        </row>
        <row r="490">
          <cell r="E490">
            <v>0</v>
          </cell>
        </row>
        <row r="491">
          <cell r="E491">
            <v>0</v>
          </cell>
        </row>
        <row r="492">
          <cell r="E492">
            <v>0</v>
          </cell>
        </row>
        <row r="493">
          <cell r="E493">
            <v>0</v>
          </cell>
        </row>
        <row r="494">
          <cell r="E494">
            <v>0</v>
          </cell>
        </row>
        <row r="495">
          <cell r="E495">
            <v>0</v>
          </cell>
        </row>
        <row r="496">
          <cell r="E496">
            <v>0</v>
          </cell>
        </row>
        <row r="497">
          <cell r="E497">
            <v>0</v>
          </cell>
        </row>
        <row r="498">
          <cell r="E498">
            <v>0</v>
          </cell>
        </row>
        <row r="499">
          <cell r="E499">
            <v>0</v>
          </cell>
        </row>
        <row r="500">
          <cell r="E500">
            <v>0</v>
          </cell>
        </row>
        <row r="501">
          <cell r="E501">
            <v>0</v>
          </cell>
        </row>
        <row r="502">
          <cell r="E502">
            <v>0</v>
          </cell>
        </row>
        <row r="503">
          <cell r="E503">
            <v>0</v>
          </cell>
        </row>
        <row r="504">
          <cell r="E504">
            <v>0</v>
          </cell>
        </row>
        <row r="505">
          <cell r="E505">
            <v>0</v>
          </cell>
        </row>
        <row r="506">
          <cell r="E506">
            <v>0</v>
          </cell>
        </row>
        <row r="507">
          <cell r="E507">
            <v>0</v>
          </cell>
        </row>
        <row r="508">
          <cell r="E508">
            <v>0</v>
          </cell>
        </row>
        <row r="509">
          <cell r="E509">
            <v>0</v>
          </cell>
        </row>
        <row r="510">
          <cell r="E510">
            <v>0</v>
          </cell>
        </row>
        <row r="511">
          <cell r="E511">
            <v>0</v>
          </cell>
        </row>
        <row r="512">
          <cell r="E512">
            <v>0</v>
          </cell>
        </row>
        <row r="513">
          <cell r="E513">
            <v>0</v>
          </cell>
        </row>
        <row r="514">
          <cell r="E514">
            <v>0</v>
          </cell>
        </row>
        <row r="515">
          <cell r="E515">
            <v>0</v>
          </cell>
        </row>
        <row r="516">
          <cell r="E516">
            <v>0</v>
          </cell>
        </row>
        <row r="517">
          <cell r="E517">
            <v>0</v>
          </cell>
        </row>
        <row r="518">
          <cell r="E518">
            <v>0</v>
          </cell>
        </row>
        <row r="519">
          <cell r="E519">
            <v>0</v>
          </cell>
        </row>
        <row r="520">
          <cell r="E520">
            <v>0</v>
          </cell>
        </row>
        <row r="521">
          <cell r="E521">
            <v>0</v>
          </cell>
        </row>
        <row r="522">
          <cell r="E522">
            <v>0</v>
          </cell>
        </row>
        <row r="523">
          <cell r="E523">
            <v>0</v>
          </cell>
        </row>
        <row r="524">
          <cell r="E524">
            <v>0</v>
          </cell>
        </row>
        <row r="525">
          <cell r="E525">
            <v>0</v>
          </cell>
        </row>
        <row r="526">
          <cell r="E526">
            <v>0</v>
          </cell>
        </row>
        <row r="527">
          <cell r="E527">
            <v>0</v>
          </cell>
        </row>
        <row r="528">
          <cell r="E528">
            <v>0</v>
          </cell>
        </row>
        <row r="529">
          <cell r="E529">
            <v>0</v>
          </cell>
        </row>
        <row r="530">
          <cell r="E530">
            <v>0</v>
          </cell>
        </row>
        <row r="531">
          <cell r="E531">
            <v>0</v>
          </cell>
        </row>
        <row r="532">
          <cell r="E532">
            <v>0</v>
          </cell>
        </row>
        <row r="533">
          <cell r="E533">
            <v>0</v>
          </cell>
        </row>
        <row r="534">
          <cell r="E534">
            <v>0</v>
          </cell>
        </row>
        <row r="535">
          <cell r="E535">
            <v>0</v>
          </cell>
        </row>
        <row r="536">
          <cell r="E536">
            <v>0</v>
          </cell>
        </row>
        <row r="537">
          <cell r="E537">
            <v>0</v>
          </cell>
        </row>
        <row r="538">
          <cell r="E538">
            <v>0</v>
          </cell>
        </row>
        <row r="539">
          <cell r="E539">
            <v>0</v>
          </cell>
        </row>
        <row r="540">
          <cell r="E540">
            <v>0</v>
          </cell>
        </row>
        <row r="541">
          <cell r="E541">
            <v>0</v>
          </cell>
        </row>
        <row r="542">
          <cell r="E542">
            <v>0</v>
          </cell>
        </row>
        <row r="543">
          <cell r="E543">
            <v>0</v>
          </cell>
        </row>
        <row r="544">
          <cell r="E544">
            <v>0</v>
          </cell>
        </row>
        <row r="545">
          <cell r="E545">
            <v>0</v>
          </cell>
        </row>
        <row r="546">
          <cell r="E546">
            <v>0</v>
          </cell>
        </row>
        <row r="547">
          <cell r="E547">
            <v>0</v>
          </cell>
        </row>
        <row r="548">
          <cell r="E548">
            <v>0</v>
          </cell>
        </row>
        <row r="549">
          <cell r="E549">
            <v>0</v>
          </cell>
        </row>
        <row r="550">
          <cell r="E550">
            <v>0</v>
          </cell>
        </row>
        <row r="551">
          <cell r="E551">
            <v>0</v>
          </cell>
        </row>
        <row r="552">
          <cell r="E552">
            <v>0</v>
          </cell>
        </row>
        <row r="553">
          <cell r="E553">
            <v>0</v>
          </cell>
        </row>
        <row r="554">
          <cell r="E554">
            <v>0</v>
          </cell>
        </row>
        <row r="556">
          <cell r="E556">
            <v>10</v>
          </cell>
        </row>
        <row r="558">
          <cell r="E558">
            <v>5</v>
          </cell>
        </row>
        <row r="560">
          <cell r="E560">
            <v>0</v>
          </cell>
        </row>
      </sheetData>
      <sheetData sheetId="12">
        <row r="5">
          <cell r="E5" t="str">
            <v>CANTIDAD</v>
          </cell>
        </row>
        <row r="11">
          <cell r="E11">
            <v>2.36</v>
          </cell>
        </row>
        <row r="19">
          <cell r="E19">
            <v>1</v>
          </cell>
        </row>
        <row r="27">
          <cell r="E27">
            <v>11</v>
          </cell>
        </row>
        <row r="35">
          <cell r="E35">
            <v>27</v>
          </cell>
        </row>
        <row r="37">
          <cell r="E37">
            <v>2</v>
          </cell>
        </row>
        <row r="49">
          <cell r="E49">
            <v>19.489999999999998</v>
          </cell>
        </row>
        <row r="53">
          <cell r="E53">
            <v>10.119999999999999</v>
          </cell>
        </row>
        <row r="55">
          <cell r="E55">
            <v>13.62</v>
          </cell>
        </row>
        <row r="57">
          <cell r="E57">
            <v>4.7300000000000004</v>
          </cell>
        </row>
        <row r="65">
          <cell r="E65">
            <v>4.5599999999999996</v>
          </cell>
        </row>
        <row r="85">
          <cell r="E85">
            <v>4.5</v>
          </cell>
        </row>
        <row r="89">
          <cell r="E89">
            <v>0.88</v>
          </cell>
        </row>
        <row r="99">
          <cell r="E99">
            <v>1.58</v>
          </cell>
        </row>
        <row r="107">
          <cell r="E107">
            <v>12.32</v>
          </cell>
        </row>
        <row r="123">
          <cell r="E123">
            <v>0</v>
          </cell>
        </row>
        <row r="124">
          <cell r="E124">
            <v>0</v>
          </cell>
        </row>
        <row r="125">
          <cell r="E125">
            <v>0</v>
          </cell>
        </row>
        <row r="126">
          <cell r="E126">
            <v>0</v>
          </cell>
        </row>
        <row r="388">
          <cell r="E388">
            <v>8</v>
          </cell>
        </row>
        <row r="390">
          <cell r="E390">
            <v>2</v>
          </cell>
        </row>
        <row r="392">
          <cell r="E392">
            <v>1</v>
          </cell>
        </row>
        <row r="424">
          <cell r="E424">
            <v>11</v>
          </cell>
        </row>
        <row r="457">
          <cell r="E457">
            <v>0</v>
          </cell>
        </row>
        <row r="458">
          <cell r="E458">
            <v>0</v>
          </cell>
        </row>
        <row r="459">
          <cell r="E459">
            <v>0</v>
          </cell>
        </row>
        <row r="460">
          <cell r="E460">
            <v>0</v>
          </cell>
        </row>
        <row r="461">
          <cell r="E461">
            <v>0</v>
          </cell>
        </row>
        <row r="462">
          <cell r="E462">
            <v>0</v>
          </cell>
        </row>
        <row r="463">
          <cell r="E463">
            <v>0</v>
          </cell>
        </row>
        <row r="464">
          <cell r="E464">
            <v>0</v>
          </cell>
        </row>
        <row r="467">
          <cell r="E467">
            <v>0</v>
          </cell>
        </row>
        <row r="468">
          <cell r="E468">
            <v>0</v>
          </cell>
        </row>
        <row r="469">
          <cell r="E469">
            <v>0</v>
          </cell>
        </row>
        <row r="470">
          <cell r="E470">
            <v>0</v>
          </cell>
        </row>
        <row r="471">
          <cell r="E471">
            <v>0</v>
          </cell>
        </row>
        <row r="472">
          <cell r="E472">
            <v>0</v>
          </cell>
        </row>
        <row r="473">
          <cell r="E473">
            <v>0</v>
          </cell>
        </row>
        <row r="474">
          <cell r="E474">
            <v>0</v>
          </cell>
        </row>
        <row r="475">
          <cell r="E475">
            <v>0</v>
          </cell>
        </row>
        <row r="476">
          <cell r="E476">
            <v>0</v>
          </cell>
        </row>
        <row r="477">
          <cell r="E477">
            <v>0</v>
          </cell>
        </row>
        <row r="478">
          <cell r="E478">
            <v>0</v>
          </cell>
        </row>
        <row r="479">
          <cell r="E479">
            <v>0</v>
          </cell>
        </row>
        <row r="480">
          <cell r="E480">
            <v>0</v>
          </cell>
        </row>
        <row r="483">
          <cell r="E483">
            <v>0</v>
          </cell>
        </row>
        <row r="484">
          <cell r="E484">
            <v>0</v>
          </cell>
        </row>
        <row r="485">
          <cell r="E485">
            <v>0</v>
          </cell>
        </row>
        <row r="486">
          <cell r="E486">
            <v>0</v>
          </cell>
        </row>
        <row r="487">
          <cell r="E487">
            <v>0</v>
          </cell>
        </row>
        <row r="488">
          <cell r="E488">
            <v>0</v>
          </cell>
        </row>
        <row r="489">
          <cell r="E489">
            <v>0</v>
          </cell>
        </row>
        <row r="490">
          <cell r="E490">
            <v>0</v>
          </cell>
        </row>
        <row r="491">
          <cell r="E491">
            <v>0</v>
          </cell>
        </row>
        <row r="492">
          <cell r="E492">
            <v>0</v>
          </cell>
        </row>
        <row r="493">
          <cell r="E493">
            <v>0</v>
          </cell>
        </row>
        <row r="494">
          <cell r="E494">
            <v>0</v>
          </cell>
        </row>
        <row r="495">
          <cell r="E495">
            <v>0</v>
          </cell>
        </row>
        <row r="496">
          <cell r="E496">
            <v>0</v>
          </cell>
        </row>
        <row r="497">
          <cell r="E497">
            <v>0</v>
          </cell>
        </row>
        <row r="498">
          <cell r="E498">
            <v>0</v>
          </cell>
        </row>
        <row r="499">
          <cell r="E499">
            <v>0</v>
          </cell>
        </row>
        <row r="500">
          <cell r="E500">
            <v>0</v>
          </cell>
        </row>
        <row r="501">
          <cell r="E501">
            <v>0</v>
          </cell>
        </row>
        <row r="502">
          <cell r="E502">
            <v>0</v>
          </cell>
        </row>
        <row r="503">
          <cell r="E503">
            <v>0</v>
          </cell>
        </row>
        <row r="504">
          <cell r="E504">
            <v>0</v>
          </cell>
        </row>
        <row r="505">
          <cell r="E505">
            <v>0</v>
          </cell>
        </row>
        <row r="506">
          <cell r="E506">
            <v>0</v>
          </cell>
        </row>
        <row r="507">
          <cell r="E507">
            <v>0</v>
          </cell>
        </row>
        <row r="508">
          <cell r="E508">
            <v>0</v>
          </cell>
        </row>
        <row r="509">
          <cell r="E509">
            <v>0</v>
          </cell>
        </row>
        <row r="510">
          <cell r="E510">
            <v>0</v>
          </cell>
        </row>
        <row r="511">
          <cell r="E511">
            <v>0</v>
          </cell>
        </row>
        <row r="512">
          <cell r="E512">
            <v>0</v>
          </cell>
        </row>
        <row r="513">
          <cell r="E513">
            <v>0</v>
          </cell>
        </row>
        <row r="514">
          <cell r="E514">
            <v>0</v>
          </cell>
        </row>
        <row r="515">
          <cell r="E515">
            <v>0</v>
          </cell>
        </row>
        <row r="516">
          <cell r="E516">
            <v>0</v>
          </cell>
        </row>
        <row r="517">
          <cell r="E517">
            <v>0</v>
          </cell>
        </row>
        <row r="518">
          <cell r="E518">
            <v>0</v>
          </cell>
        </row>
        <row r="519">
          <cell r="E519">
            <v>0</v>
          </cell>
        </row>
        <row r="520">
          <cell r="E520">
            <v>0</v>
          </cell>
        </row>
        <row r="521">
          <cell r="E521">
            <v>0</v>
          </cell>
        </row>
        <row r="522">
          <cell r="E522">
            <v>0</v>
          </cell>
        </row>
        <row r="523">
          <cell r="E523">
            <v>0</v>
          </cell>
        </row>
        <row r="524">
          <cell r="E524">
            <v>0</v>
          </cell>
        </row>
        <row r="525">
          <cell r="E525">
            <v>0</v>
          </cell>
        </row>
        <row r="526">
          <cell r="E526">
            <v>0</v>
          </cell>
        </row>
        <row r="527">
          <cell r="E527">
            <v>0</v>
          </cell>
        </row>
        <row r="528">
          <cell r="E528">
            <v>0</v>
          </cell>
        </row>
        <row r="529">
          <cell r="E529">
            <v>0</v>
          </cell>
        </row>
        <row r="530">
          <cell r="E530">
            <v>0</v>
          </cell>
        </row>
        <row r="531">
          <cell r="E531">
            <v>0</v>
          </cell>
        </row>
        <row r="532">
          <cell r="E532">
            <v>0</v>
          </cell>
        </row>
        <row r="533">
          <cell r="E533">
            <v>0</v>
          </cell>
        </row>
        <row r="534">
          <cell r="E534">
            <v>0</v>
          </cell>
        </row>
        <row r="535">
          <cell r="E535">
            <v>0</v>
          </cell>
        </row>
        <row r="536">
          <cell r="E536">
            <v>0</v>
          </cell>
        </row>
        <row r="537">
          <cell r="E537">
            <v>0</v>
          </cell>
        </row>
        <row r="538">
          <cell r="E538">
            <v>0</v>
          </cell>
        </row>
        <row r="539">
          <cell r="E539">
            <v>0</v>
          </cell>
        </row>
        <row r="540">
          <cell r="E540">
            <v>0</v>
          </cell>
        </row>
        <row r="541">
          <cell r="E541">
            <v>0</v>
          </cell>
        </row>
        <row r="542">
          <cell r="E542">
            <v>0</v>
          </cell>
        </row>
        <row r="543">
          <cell r="E543">
            <v>0</v>
          </cell>
        </row>
        <row r="544">
          <cell r="E544">
            <v>0</v>
          </cell>
        </row>
        <row r="545">
          <cell r="E545">
            <v>0</v>
          </cell>
        </row>
        <row r="546">
          <cell r="E546">
            <v>0</v>
          </cell>
        </row>
        <row r="547">
          <cell r="E547">
            <v>0</v>
          </cell>
        </row>
        <row r="548">
          <cell r="E548">
            <v>0</v>
          </cell>
        </row>
        <row r="549">
          <cell r="E549">
            <v>0</v>
          </cell>
        </row>
        <row r="550">
          <cell r="E550">
            <v>0</v>
          </cell>
        </row>
        <row r="551">
          <cell r="E551">
            <v>0</v>
          </cell>
        </row>
        <row r="552">
          <cell r="E552">
            <v>0</v>
          </cell>
        </row>
        <row r="553">
          <cell r="E553">
            <v>0</v>
          </cell>
        </row>
        <row r="554">
          <cell r="E554">
            <v>0</v>
          </cell>
        </row>
        <row r="556">
          <cell r="E556">
            <v>20</v>
          </cell>
        </row>
        <row r="558">
          <cell r="E558">
            <v>10</v>
          </cell>
        </row>
        <row r="560">
          <cell r="E560">
            <v>0</v>
          </cell>
        </row>
      </sheetData>
      <sheetData sheetId="13">
        <row r="5">
          <cell r="E5" t="str">
            <v>CANTIDAD</v>
          </cell>
        </row>
        <row r="11">
          <cell r="E11">
            <v>10.119999999999999</v>
          </cell>
        </row>
        <row r="19">
          <cell r="E19">
            <v>1.08</v>
          </cell>
        </row>
        <row r="35">
          <cell r="E35">
            <v>94.1</v>
          </cell>
        </row>
        <row r="39">
          <cell r="E39">
            <v>15</v>
          </cell>
        </row>
        <row r="49">
          <cell r="E49">
            <v>81.13</v>
          </cell>
        </row>
        <row r="53">
          <cell r="E53">
            <v>13.37</v>
          </cell>
        </row>
        <row r="55">
          <cell r="E55">
            <v>58.75</v>
          </cell>
        </row>
        <row r="57">
          <cell r="E57">
            <v>20.25</v>
          </cell>
        </row>
        <row r="65">
          <cell r="E65">
            <v>13.5</v>
          </cell>
        </row>
        <row r="71">
          <cell r="E71">
            <v>2</v>
          </cell>
        </row>
        <row r="73">
          <cell r="E73">
            <v>2</v>
          </cell>
        </row>
        <row r="83">
          <cell r="E83">
            <v>5</v>
          </cell>
        </row>
        <row r="85">
          <cell r="E85">
            <v>10</v>
          </cell>
        </row>
        <row r="89">
          <cell r="E89">
            <v>2.4</v>
          </cell>
        </row>
        <row r="99">
          <cell r="E99">
            <v>6.75</v>
          </cell>
        </row>
        <row r="123">
          <cell r="E123">
            <v>0</v>
          </cell>
        </row>
        <row r="124">
          <cell r="E124">
            <v>0</v>
          </cell>
        </row>
        <row r="125">
          <cell r="E125">
            <v>0</v>
          </cell>
        </row>
        <row r="126">
          <cell r="E126">
            <v>0</v>
          </cell>
        </row>
        <row r="334">
          <cell r="E334">
            <v>36</v>
          </cell>
        </row>
        <row r="336">
          <cell r="E336">
            <v>6</v>
          </cell>
        </row>
        <row r="338">
          <cell r="E338">
            <v>14</v>
          </cell>
        </row>
        <row r="340">
          <cell r="E340">
            <v>2</v>
          </cell>
        </row>
        <row r="342">
          <cell r="E342">
            <v>2</v>
          </cell>
        </row>
        <row r="422">
          <cell r="E422">
            <v>426</v>
          </cell>
        </row>
        <row r="450">
          <cell r="E450">
            <v>318</v>
          </cell>
        </row>
        <row r="454">
          <cell r="E454">
            <v>318</v>
          </cell>
        </row>
        <row r="457">
          <cell r="E457">
            <v>0</v>
          </cell>
        </row>
        <row r="458">
          <cell r="E458">
            <v>0</v>
          </cell>
        </row>
        <row r="459">
          <cell r="E459">
            <v>0</v>
          </cell>
        </row>
        <row r="460">
          <cell r="E460">
            <v>0</v>
          </cell>
        </row>
        <row r="461">
          <cell r="E461">
            <v>0</v>
          </cell>
        </row>
        <row r="462">
          <cell r="E462">
            <v>0</v>
          </cell>
        </row>
        <row r="463">
          <cell r="E463">
            <v>0</v>
          </cell>
        </row>
        <row r="464">
          <cell r="E464">
            <v>0</v>
          </cell>
        </row>
        <row r="467">
          <cell r="E467">
            <v>0</v>
          </cell>
        </row>
        <row r="468">
          <cell r="E468">
            <v>0</v>
          </cell>
        </row>
        <row r="469">
          <cell r="E469">
            <v>0</v>
          </cell>
        </row>
        <row r="470">
          <cell r="E470">
            <v>0</v>
          </cell>
        </row>
        <row r="471">
          <cell r="E471">
            <v>0</v>
          </cell>
        </row>
        <row r="472">
          <cell r="E472">
            <v>0</v>
          </cell>
        </row>
        <row r="473">
          <cell r="E473">
            <v>0</v>
          </cell>
        </row>
        <row r="474">
          <cell r="E474">
            <v>0</v>
          </cell>
        </row>
        <row r="475">
          <cell r="E475">
            <v>0</v>
          </cell>
        </row>
        <row r="476">
          <cell r="E476">
            <v>0</v>
          </cell>
        </row>
        <row r="477">
          <cell r="E477">
            <v>0</v>
          </cell>
        </row>
        <row r="478">
          <cell r="E478">
            <v>0</v>
          </cell>
        </row>
        <row r="479">
          <cell r="E479">
            <v>0</v>
          </cell>
        </row>
        <row r="480">
          <cell r="E480">
            <v>0</v>
          </cell>
        </row>
        <row r="483">
          <cell r="E483">
            <v>0</v>
          </cell>
        </row>
        <row r="484">
          <cell r="E484">
            <v>0</v>
          </cell>
        </row>
        <row r="485">
          <cell r="E485">
            <v>0</v>
          </cell>
        </row>
        <row r="486">
          <cell r="E486">
            <v>0</v>
          </cell>
        </row>
        <row r="487">
          <cell r="E487">
            <v>0</v>
          </cell>
        </row>
        <row r="488">
          <cell r="E488">
            <v>0</v>
          </cell>
        </row>
        <row r="489">
          <cell r="E489">
            <v>0</v>
          </cell>
        </row>
        <row r="490">
          <cell r="E490">
            <v>0</v>
          </cell>
        </row>
        <row r="491">
          <cell r="E491">
            <v>0</v>
          </cell>
        </row>
        <row r="492">
          <cell r="E492">
            <v>0</v>
          </cell>
        </row>
        <row r="493">
          <cell r="E493">
            <v>0</v>
          </cell>
        </row>
        <row r="494">
          <cell r="E494">
            <v>0</v>
          </cell>
        </row>
        <row r="495">
          <cell r="E495">
            <v>0</v>
          </cell>
        </row>
        <row r="496">
          <cell r="E496">
            <v>0</v>
          </cell>
        </row>
        <row r="497">
          <cell r="E497">
            <v>0</v>
          </cell>
        </row>
        <row r="498">
          <cell r="E498">
            <v>0</v>
          </cell>
        </row>
        <row r="499">
          <cell r="E499">
            <v>0</v>
          </cell>
        </row>
        <row r="500">
          <cell r="E500">
            <v>0</v>
          </cell>
        </row>
        <row r="501">
          <cell r="E501">
            <v>0</v>
          </cell>
        </row>
        <row r="502">
          <cell r="E502">
            <v>0</v>
          </cell>
        </row>
        <row r="503">
          <cell r="E503">
            <v>0</v>
          </cell>
        </row>
        <row r="504">
          <cell r="E504">
            <v>0</v>
          </cell>
        </row>
        <row r="505">
          <cell r="E505">
            <v>0</v>
          </cell>
        </row>
        <row r="506">
          <cell r="E506">
            <v>0</v>
          </cell>
        </row>
        <row r="507">
          <cell r="E507">
            <v>0</v>
          </cell>
        </row>
        <row r="508">
          <cell r="E508">
            <v>0</v>
          </cell>
        </row>
        <row r="509">
          <cell r="E509">
            <v>0</v>
          </cell>
        </row>
        <row r="510">
          <cell r="E510">
            <v>0</v>
          </cell>
        </row>
        <row r="511">
          <cell r="E511">
            <v>0</v>
          </cell>
        </row>
        <row r="512">
          <cell r="E512">
            <v>0</v>
          </cell>
        </row>
        <row r="513">
          <cell r="E513">
            <v>0</v>
          </cell>
        </row>
        <row r="514">
          <cell r="E514">
            <v>0</v>
          </cell>
        </row>
        <row r="515">
          <cell r="E515">
            <v>0</v>
          </cell>
        </row>
        <row r="516">
          <cell r="E516">
            <v>0</v>
          </cell>
        </row>
        <row r="517">
          <cell r="E517">
            <v>0</v>
          </cell>
        </row>
        <row r="518">
          <cell r="E518">
            <v>0</v>
          </cell>
        </row>
        <row r="519">
          <cell r="E519">
            <v>0</v>
          </cell>
        </row>
        <row r="520">
          <cell r="E520">
            <v>0</v>
          </cell>
        </row>
        <row r="521">
          <cell r="E521">
            <v>0</v>
          </cell>
        </row>
        <row r="522">
          <cell r="E522">
            <v>0</v>
          </cell>
        </row>
        <row r="523">
          <cell r="E523">
            <v>0</v>
          </cell>
        </row>
        <row r="524">
          <cell r="E524">
            <v>0</v>
          </cell>
        </row>
        <row r="525">
          <cell r="E525">
            <v>0</v>
          </cell>
        </row>
        <row r="526">
          <cell r="E526">
            <v>0</v>
          </cell>
        </row>
        <row r="527">
          <cell r="E527">
            <v>0</v>
          </cell>
        </row>
        <row r="528">
          <cell r="E528">
            <v>0</v>
          </cell>
        </row>
        <row r="529">
          <cell r="E529">
            <v>0</v>
          </cell>
        </row>
        <row r="530">
          <cell r="E530">
            <v>0</v>
          </cell>
        </row>
        <row r="531">
          <cell r="E531">
            <v>0</v>
          </cell>
        </row>
        <row r="532">
          <cell r="E532">
            <v>0</v>
          </cell>
        </row>
        <row r="533">
          <cell r="E533">
            <v>0</v>
          </cell>
        </row>
        <row r="534">
          <cell r="E534">
            <v>0</v>
          </cell>
        </row>
        <row r="535">
          <cell r="E535">
            <v>0</v>
          </cell>
        </row>
        <row r="536">
          <cell r="E536">
            <v>0</v>
          </cell>
        </row>
        <row r="537">
          <cell r="E537">
            <v>0</v>
          </cell>
        </row>
        <row r="538">
          <cell r="E538">
            <v>0</v>
          </cell>
        </row>
        <row r="539">
          <cell r="E539">
            <v>0</v>
          </cell>
        </row>
        <row r="540">
          <cell r="E540">
            <v>0</v>
          </cell>
        </row>
        <row r="541">
          <cell r="E541">
            <v>0</v>
          </cell>
        </row>
        <row r="542">
          <cell r="E542">
            <v>0</v>
          </cell>
        </row>
        <row r="543">
          <cell r="E543">
            <v>0</v>
          </cell>
        </row>
        <row r="544">
          <cell r="E544">
            <v>0</v>
          </cell>
        </row>
        <row r="545">
          <cell r="E545">
            <v>0</v>
          </cell>
        </row>
        <row r="546">
          <cell r="E546">
            <v>0</v>
          </cell>
        </row>
        <row r="547">
          <cell r="E547">
            <v>0</v>
          </cell>
        </row>
        <row r="548">
          <cell r="E548">
            <v>0</v>
          </cell>
        </row>
        <row r="549">
          <cell r="E549">
            <v>0</v>
          </cell>
        </row>
        <row r="550">
          <cell r="E550">
            <v>0</v>
          </cell>
        </row>
        <row r="551">
          <cell r="E551">
            <v>0</v>
          </cell>
        </row>
        <row r="552">
          <cell r="E552">
            <v>0</v>
          </cell>
        </row>
        <row r="553">
          <cell r="E553">
            <v>0</v>
          </cell>
        </row>
        <row r="554">
          <cell r="E554">
            <v>0</v>
          </cell>
        </row>
        <row r="556">
          <cell r="E556">
            <v>10</v>
          </cell>
        </row>
        <row r="558">
          <cell r="E558">
            <v>5</v>
          </cell>
        </row>
        <row r="560">
          <cell r="E560">
            <v>0</v>
          </cell>
        </row>
      </sheetData>
      <sheetData sheetId="14">
        <row r="5">
          <cell r="E5" t="str">
            <v>CANTIDAD</v>
          </cell>
        </row>
        <row r="11">
          <cell r="E11">
            <v>3.02</v>
          </cell>
        </row>
        <row r="13">
          <cell r="E13">
            <v>1</v>
          </cell>
        </row>
        <row r="35">
          <cell r="E35">
            <v>30</v>
          </cell>
        </row>
        <row r="37">
          <cell r="E37">
            <v>1</v>
          </cell>
        </row>
        <row r="39">
          <cell r="E39">
            <v>10</v>
          </cell>
        </row>
        <row r="49">
          <cell r="E49">
            <v>24</v>
          </cell>
        </row>
        <row r="53">
          <cell r="E53">
            <v>7.33</v>
          </cell>
        </row>
        <row r="55">
          <cell r="E55">
            <v>17.579999999999998</v>
          </cell>
        </row>
        <row r="57">
          <cell r="E57">
            <v>6.05</v>
          </cell>
        </row>
        <row r="83">
          <cell r="E83">
            <v>3</v>
          </cell>
        </row>
        <row r="85">
          <cell r="E85">
            <v>3</v>
          </cell>
        </row>
        <row r="89">
          <cell r="E89">
            <v>0.72</v>
          </cell>
        </row>
        <row r="99">
          <cell r="E99">
            <v>2.02</v>
          </cell>
        </row>
        <row r="101">
          <cell r="E101">
            <v>1</v>
          </cell>
        </row>
        <row r="107">
          <cell r="E107">
            <v>10.08</v>
          </cell>
        </row>
        <row r="123">
          <cell r="E123">
            <v>0</v>
          </cell>
        </row>
        <row r="124">
          <cell r="E124">
            <v>0</v>
          </cell>
        </row>
        <row r="125">
          <cell r="E125">
            <v>0</v>
          </cell>
        </row>
        <row r="126">
          <cell r="E126">
            <v>0</v>
          </cell>
        </row>
        <row r="376">
          <cell r="E376">
            <v>5</v>
          </cell>
        </row>
        <row r="378">
          <cell r="E378">
            <v>2</v>
          </cell>
        </row>
        <row r="380">
          <cell r="E380">
            <v>1</v>
          </cell>
        </row>
        <row r="384">
          <cell r="E384">
            <v>1</v>
          </cell>
        </row>
        <row r="424">
          <cell r="E424">
            <v>9</v>
          </cell>
        </row>
        <row r="457">
          <cell r="E457">
            <v>0</v>
          </cell>
        </row>
        <row r="458">
          <cell r="E458">
            <v>0</v>
          </cell>
        </row>
        <row r="459">
          <cell r="E459">
            <v>0</v>
          </cell>
        </row>
        <row r="460">
          <cell r="E460">
            <v>0</v>
          </cell>
        </row>
        <row r="461">
          <cell r="E461">
            <v>0</v>
          </cell>
        </row>
        <row r="462">
          <cell r="E462">
            <v>0</v>
          </cell>
        </row>
        <row r="463">
          <cell r="E463">
            <v>0</v>
          </cell>
        </row>
        <row r="464">
          <cell r="E464">
            <v>0</v>
          </cell>
        </row>
        <row r="467">
          <cell r="E467">
            <v>0</v>
          </cell>
        </row>
        <row r="468">
          <cell r="E468">
            <v>0</v>
          </cell>
        </row>
        <row r="469">
          <cell r="E469">
            <v>0</v>
          </cell>
        </row>
        <row r="470">
          <cell r="E470">
            <v>0</v>
          </cell>
        </row>
        <row r="471">
          <cell r="E471">
            <v>0</v>
          </cell>
        </row>
        <row r="472">
          <cell r="E472">
            <v>0</v>
          </cell>
        </row>
        <row r="473">
          <cell r="E473">
            <v>0</v>
          </cell>
        </row>
        <row r="474">
          <cell r="E474">
            <v>0</v>
          </cell>
        </row>
        <row r="475">
          <cell r="E475">
            <v>0</v>
          </cell>
        </row>
        <row r="476">
          <cell r="E476">
            <v>0</v>
          </cell>
        </row>
        <row r="477">
          <cell r="E477">
            <v>0</v>
          </cell>
        </row>
        <row r="478">
          <cell r="E478">
            <v>0</v>
          </cell>
        </row>
        <row r="479">
          <cell r="E479">
            <v>0</v>
          </cell>
        </row>
        <row r="480">
          <cell r="E480">
            <v>0</v>
          </cell>
        </row>
        <row r="483">
          <cell r="E483">
            <v>0</v>
          </cell>
        </row>
        <row r="484">
          <cell r="E484">
            <v>0</v>
          </cell>
        </row>
        <row r="485">
          <cell r="E485">
            <v>0</v>
          </cell>
        </row>
        <row r="486">
          <cell r="E486">
            <v>0</v>
          </cell>
        </row>
        <row r="487">
          <cell r="E487">
            <v>0</v>
          </cell>
        </row>
        <row r="488">
          <cell r="E488">
            <v>0</v>
          </cell>
        </row>
        <row r="489">
          <cell r="E489">
            <v>0</v>
          </cell>
        </row>
        <row r="490">
          <cell r="E490">
            <v>0</v>
          </cell>
        </row>
        <row r="491">
          <cell r="E491">
            <v>0</v>
          </cell>
        </row>
        <row r="492">
          <cell r="E492">
            <v>0</v>
          </cell>
        </row>
        <row r="493">
          <cell r="E493">
            <v>0</v>
          </cell>
        </row>
        <row r="494">
          <cell r="E494">
            <v>0</v>
          </cell>
        </row>
        <row r="495">
          <cell r="E495">
            <v>0</v>
          </cell>
        </row>
        <row r="496">
          <cell r="E496">
            <v>0</v>
          </cell>
        </row>
        <row r="497">
          <cell r="E497">
            <v>0</v>
          </cell>
        </row>
        <row r="498">
          <cell r="E498">
            <v>0</v>
          </cell>
        </row>
        <row r="499">
          <cell r="E499">
            <v>0</v>
          </cell>
        </row>
        <row r="500">
          <cell r="E500">
            <v>0</v>
          </cell>
        </row>
        <row r="501">
          <cell r="E501">
            <v>0</v>
          </cell>
        </row>
        <row r="502">
          <cell r="E502">
            <v>0</v>
          </cell>
        </row>
        <row r="503">
          <cell r="E503">
            <v>0</v>
          </cell>
        </row>
        <row r="504">
          <cell r="E504">
            <v>0</v>
          </cell>
        </row>
        <row r="505">
          <cell r="E505">
            <v>0</v>
          </cell>
        </row>
        <row r="506">
          <cell r="E506">
            <v>0</v>
          </cell>
        </row>
        <row r="507">
          <cell r="E507">
            <v>0</v>
          </cell>
        </row>
        <row r="508">
          <cell r="E508">
            <v>0</v>
          </cell>
        </row>
        <row r="509">
          <cell r="E509">
            <v>0</v>
          </cell>
        </row>
        <row r="510">
          <cell r="E510">
            <v>0</v>
          </cell>
        </row>
        <row r="511">
          <cell r="E511">
            <v>0</v>
          </cell>
        </row>
        <row r="512">
          <cell r="E512">
            <v>0</v>
          </cell>
        </row>
        <row r="513">
          <cell r="E513">
            <v>0</v>
          </cell>
        </row>
        <row r="514">
          <cell r="E514">
            <v>0</v>
          </cell>
        </row>
        <row r="515">
          <cell r="E515">
            <v>0</v>
          </cell>
        </row>
        <row r="516">
          <cell r="E516">
            <v>0</v>
          </cell>
        </row>
        <row r="517">
          <cell r="E517">
            <v>0</v>
          </cell>
        </row>
        <row r="518">
          <cell r="E518">
            <v>0</v>
          </cell>
        </row>
        <row r="519">
          <cell r="E519">
            <v>0</v>
          </cell>
        </row>
        <row r="520">
          <cell r="E520">
            <v>0</v>
          </cell>
        </row>
        <row r="521">
          <cell r="E521">
            <v>0</v>
          </cell>
        </row>
        <row r="522">
          <cell r="E522">
            <v>0</v>
          </cell>
        </row>
        <row r="523">
          <cell r="E523">
            <v>0</v>
          </cell>
        </row>
        <row r="524">
          <cell r="E524">
            <v>0</v>
          </cell>
        </row>
        <row r="525">
          <cell r="E525">
            <v>0</v>
          </cell>
        </row>
        <row r="526">
          <cell r="E526">
            <v>0</v>
          </cell>
        </row>
        <row r="527">
          <cell r="E527">
            <v>0</v>
          </cell>
        </row>
        <row r="528">
          <cell r="E528">
            <v>0</v>
          </cell>
        </row>
        <row r="529">
          <cell r="E529">
            <v>0</v>
          </cell>
        </row>
        <row r="530">
          <cell r="E530">
            <v>0</v>
          </cell>
        </row>
        <row r="531">
          <cell r="E531">
            <v>0</v>
          </cell>
        </row>
        <row r="532">
          <cell r="E532">
            <v>0</v>
          </cell>
        </row>
        <row r="533">
          <cell r="E533">
            <v>0</v>
          </cell>
        </row>
        <row r="534">
          <cell r="E534">
            <v>0</v>
          </cell>
        </row>
        <row r="535">
          <cell r="E535">
            <v>0</v>
          </cell>
        </row>
        <row r="536">
          <cell r="E536">
            <v>0</v>
          </cell>
        </row>
        <row r="537">
          <cell r="E537">
            <v>0</v>
          </cell>
        </row>
        <row r="538">
          <cell r="E538">
            <v>0</v>
          </cell>
        </row>
        <row r="539">
          <cell r="E539">
            <v>0</v>
          </cell>
        </row>
        <row r="540">
          <cell r="E540">
            <v>0</v>
          </cell>
        </row>
        <row r="541">
          <cell r="E541">
            <v>0</v>
          </cell>
        </row>
        <row r="542">
          <cell r="E542">
            <v>0</v>
          </cell>
        </row>
        <row r="543">
          <cell r="E543">
            <v>0</v>
          </cell>
        </row>
        <row r="544">
          <cell r="E544">
            <v>0</v>
          </cell>
        </row>
        <row r="545">
          <cell r="E545">
            <v>0</v>
          </cell>
        </row>
        <row r="546">
          <cell r="E546">
            <v>0</v>
          </cell>
        </row>
        <row r="547">
          <cell r="E547">
            <v>0</v>
          </cell>
        </row>
        <row r="548">
          <cell r="E548">
            <v>0</v>
          </cell>
        </row>
        <row r="549">
          <cell r="E549">
            <v>0</v>
          </cell>
        </row>
        <row r="550">
          <cell r="E550">
            <v>0</v>
          </cell>
        </row>
        <row r="551">
          <cell r="E551">
            <v>0</v>
          </cell>
        </row>
        <row r="552">
          <cell r="E552">
            <v>0</v>
          </cell>
        </row>
        <row r="553">
          <cell r="E553">
            <v>0</v>
          </cell>
        </row>
        <row r="554">
          <cell r="E554">
            <v>0</v>
          </cell>
        </row>
        <row r="556">
          <cell r="E556">
            <v>10</v>
          </cell>
        </row>
        <row r="558">
          <cell r="E558">
            <v>5</v>
          </cell>
        </row>
        <row r="560">
          <cell r="E560">
            <v>0</v>
          </cell>
        </row>
      </sheetData>
      <sheetData sheetId="15"/>
      <sheetData sheetId="16">
        <row r="5">
          <cell r="E5" t="str">
            <v>CANTIDAD</v>
          </cell>
        </row>
        <row r="11">
          <cell r="E11">
            <v>14.2</v>
          </cell>
        </row>
        <row r="13">
          <cell r="E13">
            <v>2</v>
          </cell>
        </row>
        <row r="19">
          <cell r="E19">
            <v>3.37</v>
          </cell>
        </row>
        <row r="25">
          <cell r="E25">
            <v>4.6399999999999997</v>
          </cell>
        </row>
        <row r="29">
          <cell r="E29">
            <v>6.5</v>
          </cell>
        </row>
        <row r="35">
          <cell r="E35">
            <v>140</v>
          </cell>
        </row>
        <row r="37">
          <cell r="E37">
            <v>1</v>
          </cell>
        </row>
        <row r="39">
          <cell r="E39">
            <v>48.47</v>
          </cell>
        </row>
        <row r="49">
          <cell r="E49">
            <v>83.47</v>
          </cell>
        </row>
        <row r="53">
          <cell r="E53">
            <v>17.91</v>
          </cell>
        </row>
        <row r="55">
          <cell r="E55">
            <v>96.12</v>
          </cell>
        </row>
        <row r="57">
          <cell r="E57">
            <v>23.79</v>
          </cell>
        </row>
        <row r="61">
          <cell r="E61">
            <v>7.32</v>
          </cell>
        </row>
        <row r="65">
          <cell r="E65">
            <v>42.12</v>
          </cell>
        </row>
        <row r="71">
          <cell r="E71">
            <v>2</v>
          </cell>
        </row>
        <row r="73">
          <cell r="E73">
            <v>4</v>
          </cell>
        </row>
        <row r="83">
          <cell r="E83">
            <v>10</v>
          </cell>
        </row>
        <row r="85">
          <cell r="E85">
            <v>20</v>
          </cell>
        </row>
        <row r="89">
          <cell r="E89">
            <v>0.5</v>
          </cell>
        </row>
        <row r="99">
          <cell r="E99">
            <v>7.93</v>
          </cell>
        </row>
        <row r="101">
          <cell r="E101">
            <v>2</v>
          </cell>
        </row>
        <row r="107">
          <cell r="E107">
            <v>1.1200000000000001</v>
          </cell>
        </row>
        <row r="123">
          <cell r="E123">
            <v>0</v>
          </cell>
        </row>
        <row r="124">
          <cell r="E124">
            <v>0</v>
          </cell>
        </row>
        <row r="125">
          <cell r="E125">
            <v>0</v>
          </cell>
        </row>
        <row r="126">
          <cell r="E126">
            <v>0</v>
          </cell>
        </row>
        <row r="141">
          <cell r="E141">
            <v>98</v>
          </cell>
        </row>
        <row r="153">
          <cell r="E153">
            <v>11.5</v>
          </cell>
        </row>
        <row r="155">
          <cell r="E155">
            <v>3.5</v>
          </cell>
        </row>
        <row r="157">
          <cell r="E157">
            <v>20</v>
          </cell>
        </row>
        <row r="159">
          <cell r="E159">
            <v>2</v>
          </cell>
        </row>
        <row r="161">
          <cell r="E161">
            <v>5</v>
          </cell>
        </row>
        <row r="163">
          <cell r="E163">
            <v>2</v>
          </cell>
        </row>
        <row r="165">
          <cell r="E165">
            <v>25</v>
          </cell>
        </row>
        <row r="171">
          <cell r="E171">
            <v>24</v>
          </cell>
        </row>
        <row r="193">
          <cell r="E193">
            <v>4</v>
          </cell>
        </row>
        <row r="195">
          <cell r="E195">
            <v>3</v>
          </cell>
        </row>
        <row r="197">
          <cell r="E197">
            <v>5</v>
          </cell>
        </row>
        <row r="209">
          <cell r="E209">
            <v>6</v>
          </cell>
        </row>
        <row r="211">
          <cell r="E211">
            <v>2</v>
          </cell>
        </row>
        <row r="217">
          <cell r="E217">
            <v>2</v>
          </cell>
        </row>
        <row r="219">
          <cell r="E219">
            <v>2</v>
          </cell>
        </row>
        <row r="312">
          <cell r="E312">
            <v>2</v>
          </cell>
        </row>
        <row r="358">
          <cell r="E358">
            <v>1</v>
          </cell>
        </row>
        <row r="364">
          <cell r="E364">
            <v>1</v>
          </cell>
        </row>
        <row r="406">
          <cell r="E406">
            <v>2</v>
          </cell>
        </row>
        <row r="422">
          <cell r="E422">
            <v>205.12</v>
          </cell>
        </row>
        <row r="424">
          <cell r="E424">
            <v>1</v>
          </cell>
        </row>
        <row r="434">
          <cell r="E434">
            <v>2</v>
          </cell>
        </row>
        <row r="450">
          <cell r="E450">
            <v>3929</v>
          </cell>
        </row>
        <row r="452">
          <cell r="E452">
            <v>951.3</v>
          </cell>
        </row>
        <row r="454">
          <cell r="E454">
            <v>2473.1999999999998</v>
          </cell>
        </row>
        <row r="457">
          <cell r="E457">
            <v>0</v>
          </cell>
        </row>
        <row r="458">
          <cell r="E458">
            <v>0</v>
          </cell>
        </row>
        <row r="459">
          <cell r="E459">
            <v>0</v>
          </cell>
        </row>
        <row r="460">
          <cell r="E460">
            <v>0</v>
          </cell>
        </row>
        <row r="461">
          <cell r="E461">
            <v>0</v>
          </cell>
        </row>
        <row r="462">
          <cell r="E462">
            <v>0</v>
          </cell>
        </row>
        <row r="463">
          <cell r="E463">
            <v>0</v>
          </cell>
        </row>
        <row r="464">
          <cell r="E464">
            <v>0</v>
          </cell>
        </row>
        <row r="467">
          <cell r="E467">
            <v>0</v>
          </cell>
        </row>
        <row r="468">
          <cell r="E468">
            <v>0</v>
          </cell>
        </row>
        <row r="469">
          <cell r="E469">
            <v>0</v>
          </cell>
        </row>
        <row r="470">
          <cell r="E470">
            <v>0</v>
          </cell>
        </row>
        <row r="471">
          <cell r="E471">
            <v>0</v>
          </cell>
        </row>
        <row r="472">
          <cell r="E472">
            <v>0</v>
          </cell>
        </row>
        <row r="473">
          <cell r="E473">
            <v>0</v>
          </cell>
        </row>
        <row r="474">
          <cell r="E474">
            <v>0</v>
          </cell>
        </row>
        <row r="475">
          <cell r="E475">
            <v>0</v>
          </cell>
        </row>
        <row r="476">
          <cell r="E476">
            <v>0</v>
          </cell>
        </row>
        <row r="477">
          <cell r="E477">
            <v>0</v>
          </cell>
        </row>
        <row r="478">
          <cell r="E478">
            <v>0</v>
          </cell>
        </row>
        <row r="479">
          <cell r="E479">
            <v>0</v>
          </cell>
        </row>
        <row r="480">
          <cell r="E480">
            <v>0</v>
          </cell>
        </row>
        <row r="483">
          <cell r="E483">
            <v>0</v>
          </cell>
        </row>
        <row r="484">
          <cell r="E484">
            <v>0</v>
          </cell>
        </row>
        <row r="485">
          <cell r="E485">
            <v>0</v>
          </cell>
        </row>
        <row r="486">
          <cell r="E486">
            <v>0</v>
          </cell>
        </row>
        <row r="487">
          <cell r="E487">
            <v>0</v>
          </cell>
        </row>
        <row r="488">
          <cell r="E488">
            <v>0</v>
          </cell>
        </row>
        <row r="489">
          <cell r="E489">
            <v>0</v>
          </cell>
        </row>
        <row r="490">
          <cell r="E490">
            <v>0</v>
          </cell>
        </row>
        <row r="491">
          <cell r="E491">
            <v>0</v>
          </cell>
        </row>
        <row r="492">
          <cell r="E492">
            <v>0</v>
          </cell>
        </row>
        <row r="493">
          <cell r="E493">
            <v>0</v>
          </cell>
        </row>
        <row r="494">
          <cell r="E494">
            <v>0</v>
          </cell>
        </row>
        <row r="495">
          <cell r="E495">
            <v>0</v>
          </cell>
        </row>
        <row r="496">
          <cell r="E496">
            <v>0</v>
          </cell>
        </row>
        <row r="497">
          <cell r="E497">
            <v>0</v>
          </cell>
        </row>
        <row r="498">
          <cell r="E498">
            <v>0</v>
          </cell>
        </row>
        <row r="499">
          <cell r="E499">
            <v>0</v>
          </cell>
        </row>
        <row r="500">
          <cell r="E500">
            <v>0</v>
          </cell>
        </row>
        <row r="501">
          <cell r="E501">
            <v>0</v>
          </cell>
        </row>
        <row r="502">
          <cell r="E502">
            <v>0</v>
          </cell>
        </row>
        <row r="503">
          <cell r="E503">
            <v>0</v>
          </cell>
        </row>
        <row r="504">
          <cell r="E504">
            <v>0</v>
          </cell>
        </row>
        <row r="505">
          <cell r="E505">
            <v>0</v>
          </cell>
        </row>
        <row r="506">
          <cell r="E506">
            <v>0</v>
          </cell>
        </row>
        <row r="507">
          <cell r="E507">
            <v>0</v>
          </cell>
        </row>
        <row r="508">
          <cell r="E508">
            <v>0</v>
          </cell>
        </row>
        <row r="509">
          <cell r="E509">
            <v>0</v>
          </cell>
        </row>
        <row r="510">
          <cell r="E510">
            <v>0</v>
          </cell>
        </row>
        <row r="511">
          <cell r="E511">
            <v>0</v>
          </cell>
        </row>
        <row r="512">
          <cell r="E512">
            <v>0</v>
          </cell>
        </row>
        <row r="513">
          <cell r="E513">
            <v>0</v>
          </cell>
        </row>
        <row r="514">
          <cell r="E514">
            <v>0</v>
          </cell>
        </row>
        <row r="515">
          <cell r="E515">
            <v>0</v>
          </cell>
        </row>
        <row r="516">
          <cell r="E516">
            <v>0</v>
          </cell>
        </row>
        <row r="517">
          <cell r="E517">
            <v>0</v>
          </cell>
        </row>
        <row r="518">
          <cell r="E518">
            <v>0</v>
          </cell>
        </row>
        <row r="519">
          <cell r="E519">
            <v>0</v>
          </cell>
        </row>
        <row r="520">
          <cell r="E520">
            <v>0</v>
          </cell>
        </row>
        <row r="521">
          <cell r="E521">
            <v>0</v>
          </cell>
        </row>
        <row r="522">
          <cell r="E522">
            <v>0</v>
          </cell>
        </row>
        <row r="523">
          <cell r="E523">
            <v>0</v>
          </cell>
        </row>
        <row r="524">
          <cell r="E524">
            <v>0</v>
          </cell>
        </row>
        <row r="525">
          <cell r="E525">
            <v>0</v>
          </cell>
        </row>
        <row r="526">
          <cell r="E526">
            <v>0</v>
          </cell>
        </row>
        <row r="527">
          <cell r="E527">
            <v>0</v>
          </cell>
        </row>
        <row r="528">
          <cell r="E528">
            <v>0</v>
          </cell>
        </row>
        <row r="529">
          <cell r="E529">
            <v>0</v>
          </cell>
        </row>
        <row r="530">
          <cell r="E530">
            <v>0</v>
          </cell>
        </row>
        <row r="531">
          <cell r="E531">
            <v>0</v>
          </cell>
        </row>
        <row r="532">
          <cell r="E532">
            <v>98</v>
          </cell>
        </row>
        <row r="533">
          <cell r="E533">
            <v>0</v>
          </cell>
        </row>
        <row r="534">
          <cell r="E534">
            <v>0</v>
          </cell>
        </row>
        <row r="535">
          <cell r="E535">
            <v>0</v>
          </cell>
        </row>
        <row r="536">
          <cell r="E536">
            <v>0</v>
          </cell>
        </row>
        <row r="537">
          <cell r="E537">
            <v>0</v>
          </cell>
        </row>
        <row r="538">
          <cell r="E538">
            <v>0</v>
          </cell>
        </row>
        <row r="539">
          <cell r="E539">
            <v>0</v>
          </cell>
        </row>
        <row r="540">
          <cell r="E540">
            <v>0</v>
          </cell>
        </row>
        <row r="541">
          <cell r="E541">
            <v>0</v>
          </cell>
        </row>
        <row r="542">
          <cell r="E542">
            <v>0</v>
          </cell>
        </row>
        <row r="543">
          <cell r="E543">
            <v>0</v>
          </cell>
        </row>
        <row r="544">
          <cell r="E544">
            <v>0</v>
          </cell>
        </row>
        <row r="545">
          <cell r="E545">
            <v>0</v>
          </cell>
        </row>
        <row r="546">
          <cell r="E546">
            <v>0</v>
          </cell>
        </row>
        <row r="547">
          <cell r="E547">
            <v>0</v>
          </cell>
        </row>
        <row r="548">
          <cell r="E548">
            <v>0</v>
          </cell>
        </row>
        <row r="549">
          <cell r="E549">
            <v>0</v>
          </cell>
        </row>
        <row r="550">
          <cell r="E550">
            <v>0</v>
          </cell>
        </row>
        <row r="551">
          <cell r="E551">
            <v>0</v>
          </cell>
        </row>
        <row r="552">
          <cell r="E552">
            <v>0</v>
          </cell>
        </row>
        <row r="553">
          <cell r="E553">
            <v>0</v>
          </cell>
        </row>
        <row r="554">
          <cell r="E554">
            <v>0</v>
          </cell>
        </row>
        <row r="556">
          <cell r="E556">
            <v>40</v>
          </cell>
        </row>
        <row r="558">
          <cell r="E558">
            <v>20</v>
          </cell>
        </row>
        <row r="560">
          <cell r="E560">
            <v>0</v>
          </cell>
        </row>
      </sheetData>
      <sheetData sheetId="17">
        <row r="5">
          <cell r="E5" t="str">
            <v>CANTIDAD</v>
          </cell>
        </row>
        <row r="11">
          <cell r="E11">
            <v>61.25</v>
          </cell>
        </row>
        <row r="13">
          <cell r="E13">
            <v>1</v>
          </cell>
        </row>
        <row r="19">
          <cell r="E19">
            <v>7.98</v>
          </cell>
        </row>
        <row r="21">
          <cell r="E21">
            <v>2</v>
          </cell>
        </row>
        <row r="23">
          <cell r="E23">
            <v>2</v>
          </cell>
        </row>
        <row r="29">
          <cell r="E29">
            <v>1</v>
          </cell>
        </row>
        <row r="35">
          <cell r="E35">
            <v>492</v>
          </cell>
        </row>
        <row r="37">
          <cell r="E37">
            <v>2</v>
          </cell>
        </row>
        <row r="39">
          <cell r="E39">
            <v>38.130000000000003</v>
          </cell>
        </row>
        <row r="49">
          <cell r="E49">
            <v>361.98</v>
          </cell>
        </row>
        <row r="53">
          <cell r="E53">
            <v>124.93</v>
          </cell>
        </row>
        <row r="55">
          <cell r="E55">
            <v>186.08</v>
          </cell>
        </row>
        <row r="57">
          <cell r="E57">
            <v>113.53</v>
          </cell>
        </row>
        <row r="61">
          <cell r="E61">
            <v>40</v>
          </cell>
        </row>
        <row r="63">
          <cell r="E63">
            <v>10</v>
          </cell>
        </row>
        <row r="65">
          <cell r="E65">
            <v>99.8</v>
          </cell>
        </row>
        <row r="71">
          <cell r="E71">
            <v>2</v>
          </cell>
        </row>
        <row r="73">
          <cell r="E73">
            <v>4</v>
          </cell>
        </row>
        <row r="75">
          <cell r="E75">
            <v>2</v>
          </cell>
        </row>
        <row r="77">
          <cell r="E77">
            <v>2</v>
          </cell>
        </row>
        <row r="79">
          <cell r="E79">
            <v>5</v>
          </cell>
        </row>
        <row r="83">
          <cell r="E83">
            <v>20</v>
          </cell>
        </row>
        <row r="85">
          <cell r="E85">
            <v>30</v>
          </cell>
        </row>
        <row r="89">
          <cell r="E89">
            <v>4.72</v>
          </cell>
        </row>
        <row r="99">
          <cell r="E99">
            <v>40.090000000000003</v>
          </cell>
        </row>
        <row r="101">
          <cell r="E101">
            <v>1</v>
          </cell>
        </row>
        <row r="107">
          <cell r="E107">
            <v>19.600000000000001</v>
          </cell>
        </row>
        <row r="123">
          <cell r="E123">
            <v>0</v>
          </cell>
        </row>
        <row r="124">
          <cell r="E124">
            <v>0</v>
          </cell>
        </row>
        <row r="125">
          <cell r="E125">
            <v>0</v>
          </cell>
        </row>
        <row r="126">
          <cell r="E126">
            <v>0</v>
          </cell>
        </row>
        <row r="131">
          <cell r="E131">
            <v>70</v>
          </cell>
        </row>
        <row r="143">
          <cell r="E143">
            <v>750</v>
          </cell>
        </row>
        <row r="155">
          <cell r="E155">
            <v>21.7</v>
          </cell>
        </row>
        <row r="159">
          <cell r="E159">
            <v>6</v>
          </cell>
        </row>
        <row r="161">
          <cell r="E161">
            <v>4.5</v>
          </cell>
        </row>
        <row r="165">
          <cell r="E165">
            <v>24</v>
          </cell>
        </row>
        <row r="195">
          <cell r="E195">
            <v>3</v>
          </cell>
        </row>
        <row r="199">
          <cell r="E199">
            <v>4</v>
          </cell>
        </row>
        <row r="201">
          <cell r="E201">
            <v>4</v>
          </cell>
        </row>
        <row r="211">
          <cell r="E211">
            <v>4</v>
          </cell>
        </row>
        <row r="225">
          <cell r="E225">
            <v>2</v>
          </cell>
        </row>
        <row r="233">
          <cell r="E233">
            <v>3</v>
          </cell>
        </row>
        <row r="267">
          <cell r="E267">
            <v>4</v>
          </cell>
        </row>
        <row r="271">
          <cell r="E271">
            <v>1</v>
          </cell>
        </row>
        <row r="316">
          <cell r="E316">
            <v>4</v>
          </cell>
        </row>
        <row r="318">
          <cell r="E318">
            <v>8</v>
          </cell>
        </row>
        <row r="320">
          <cell r="E320">
            <v>4</v>
          </cell>
        </row>
        <row r="330">
          <cell r="E330">
            <v>2</v>
          </cell>
        </row>
        <row r="370">
          <cell r="E370">
            <v>1</v>
          </cell>
        </row>
        <row r="424">
          <cell r="E424">
            <v>6</v>
          </cell>
        </row>
        <row r="450">
          <cell r="E450">
            <v>5182</v>
          </cell>
        </row>
        <row r="452">
          <cell r="E452">
            <v>344</v>
          </cell>
        </row>
        <row r="454">
          <cell r="E454">
            <v>3672</v>
          </cell>
        </row>
        <row r="457">
          <cell r="E457">
            <v>0</v>
          </cell>
        </row>
        <row r="458">
          <cell r="E458">
            <v>0</v>
          </cell>
        </row>
        <row r="459">
          <cell r="E459">
            <v>0</v>
          </cell>
        </row>
        <row r="460">
          <cell r="E460">
            <v>0</v>
          </cell>
        </row>
        <row r="461">
          <cell r="E461">
            <v>0</v>
          </cell>
        </row>
        <row r="462">
          <cell r="E462">
            <v>14</v>
          </cell>
        </row>
        <row r="463">
          <cell r="E463">
            <v>0</v>
          </cell>
        </row>
        <row r="464">
          <cell r="E464">
            <v>2</v>
          </cell>
        </row>
        <row r="466">
          <cell r="E466">
            <v>2</v>
          </cell>
        </row>
        <row r="467">
          <cell r="E467">
            <v>0</v>
          </cell>
        </row>
        <row r="468">
          <cell r="E468">
            <v>0</v>
          </cell>
        </row>
        <row r="469">
          <cell r="E469">
            <v>0</v>
          </cell>
        </row>
        <row r="470">
          <cell r="E470">
            <v>0</v>
          </cell>
        </row>
        <row r="471">
          <cell r="E471">
            <v>0</v>
          </cell>
        </row>
        <row r="472">
          <cell r="E472">
            <v>0</v>
          </cell>
        </row>
        <row r="473">
          <cell r="E473">
            <v>0</v>
          </cell>
        </row>
        <row r="474">
          <cell r="E474">
            <v>0</v>
          </cell>
        </row>
        <row r="475">
          <cell r="E475">
            <v>0</v>
          </cell>
        </row>
        <row r="476">
          <cell r="E476">
            <v>0</v>
          </cell>
        </row>
        <row r="477">
          <cell r="E477">
            <v>0</v>
          </cell>
        </row>
        <row r="478">
          <cell r="E478">
            <v>0</v>
          </cell>
        </row>
        <row r="479">
          <cell r="E479">
            <v>0</v>
          </cell>
        </row>
        <row r="480">
          <cell r="E480">
            <v>10</v>
          </cell>
        </row>
        <row r="481">
          <cell r="E481">
            <v>0</v>
          </cell>
        </row>
        <row r="482">
          <cell r="E482">
            <v>4</v>
          </cell>
        </row>
        <row r="484">
          <cell r="E484">
            <v>0</v>
          </cell>
        </row>
        <row r="485">
          <cell r="E485">
            <v>0</v>
          </cell>
        </row>
        <row r="486">
          <cell r="E486">
            <v>0</v>
          </cell>
        </row>
        <row r="487">
          <cell r="E487">
            <v>0</v>
          </cell>
        </row>
        <row r="488">
          <cell r="E488">
            <v>7</v>
          </cell>
        </row>
        <row r="489">
          <cell r="E489">
            <v>0</v>
          </cell>
        </row>
        <row r="490">
          <cell r="E490">
            <v>1</v>
          </cell>
        </row>
        <row r="491">
          <cell r="E491">
            <v>0</v>
          </cell>
        </row>
        <row r="492">
          <cell r="E492">
            <v>0</v>
          </cell>
        </row>
        <row r="493">
          <cell r="E493">
            <v>0</v>
          </cell>
        </row>
        <row r="494">
          <cell r="E494">
            <v>4</v>
          </cell>
        </row>
        <row r="495">
          <cell r="E495">
            <v>0</v>
          </cell>
        </row>
        <row r="496">
          <cell r="E496">
            <v>2</v>
          </cell>
        </row>
        <row r="497">
          <cell r="E497">
            <v>0</v>
          </cell>
        </row>
        <row r="498">
          <cell r="E498">
            <v>0</v>
          </cell>
        </row>
        <row r="499">
          <cell r="E499">
            <v>0</v>
          </cell>
        </row>
        <row r="500">
          <cell r="E500">
            <v>4</v>
          </cell>
        </row>
        <row r="501">
          <cell r="E501">
            <v>0</v>
          </cell>
        </row>
        <row r="502">
          <cell r="E502">
            <v>4</v>
          </cell>
        </row>
        <row r="503">
          <cell r="E503">
            <v>0</v>
          </cell>
        </row>
        <row r="504">
          <cell r="E504">
            <v>0</v>
          </cell>
        </row>
        <row r="505">
          <cell r="E505">
            <v>0</v>
          </cell>
        </row>
        <row r="506">
          <cell r="E506">
            <v>1</v>
          </cell>
        </row>
        <row r="507">
          <cell r="E507">
            <v>0</v>
          </cell>
        </row>
        <row r="508">
          <cell r="E508">
            <v>0</v>
          </cell>
        </row>
        <row r="509">
          <cell r="E509">
            <v>0</v>
          </cell>
        </row>
        <row r="510">
          <cell r="E510">
            <v>0</v>
          </cell>
        </row>
        <row r="511">
          <cell r="E511">
            <v>0</v>
          </cell>
        </row>
        <row r="512">
          <cell r="E512">
            <v>0</v>
          </cell>
        </row>
        <row r="513">
          <cell r="E513">
            <v>0</v>
          </cell>
        </row>
        <row r="514">
          <cell r="E514">
            <v>0</v>
          </cell>
        </row>
        <row r="515">
          <cell r="E515">
            <v>0</v>
          </cell>
        </row>
        <row r="516">
          <cell r="E516">
            <v>7</v>
          </cell>
        </row>
        <row r="517">
          <cell r="E517">
            <v>0</v>
          </cell>
        </row>
        <row r="518">
          <cell r="E518">
            <v>0</v>
          </cell>
        </row>
        <row r="519">
          <cell r="E519">
            <v>0</v>
          </cell>
        </row>
        <row r="520">
          <cell r="E520">
            <v>0</v>
          </cell>
        </row>
        <row r="521">
          <cell r="E521">
            <v>0</v>
          </cell>
        </row>
        <row r="522">
          <cell r="E522">
            <v>1</v>
          </cell>
        </row>
        <row r="523">
          <cell r="E523">
            <v>0</v>
          </cell>
        </row>
        <row r="524">
          <cell r="E524">
            <v>6</v>
          </cell>
        </row>
        <row r="525">
          <cell r="E525">
            <v>0</v>
          </cell>
        </row>
        <row r="526">
          <cell r="E526">
            <v>0</v>
          </cell>
        </row>
        <row r="527">
          <cell r="E527">
            <v>0</v>
          </cell>
        </row>
        <row r="528">
          <cell r="E528">
            <v>4</v>
          </cell>
        </row>
        <row r="529">
          <cell r="E529">
            <v>0</v>
          </cell>
        </row>
        <row r="530">
          <cell r="E530">
            <v>0</v>
          </cell>
        </row>
        <row r="531">
          <cell r="E531">
            <v>0</v>
          </cell>
        </row>
        <row r="532">
          <cell r="E532">
            <v>820</v>
          </cell>
        </row>
        <row r="533">
          <cell r="E533">
            <v>0</v>
          </cell>
        </row>
        <row r="534">
          <cell r="E534">
            <v>0</v>
          </cell>
        </row>
        <row r="535">
          <cell r="E535">
            <v>0</v>
          </cell>
        </row>
        <row r="536">
          <cell r="E536">
            <v>0</v>
          </cell>
        </row>
        <row r="537">
          <cell r="E537">
            <v>0</v>
          </cell>
        </row>
        <row r="538">
          <cell r="E538">
            <v>0</v>
          </cell>
        </row>
        <row r="539">
          <cell r="E539">
            <v>0</v>
          </cell>
        </row>
        <row r="540">
          <cell r="E540">
            <v>0</v>
          </cell>
        </row>
        <row r="541">
          <cell r="E541">
            <v>0</v>
          </cell>
        </row>
        <row r="542">
          <cell r="E542">
            <v>0</v>
          </cell>
        </row>
        <row r="543">
          <cell r="E543">
            <v>0</v>
          </cell>
        </row>
        <row r="544">
          <cell r="E544">
            <v>0</v>
          </cell>
        </row>
        <row r="545">
          <cell r="E545">
            <v>0</v>
          </cell>
        </row>
        <row r="546">
          <cell r="E546">
            <v>0</v>
          </cell>
        </row>
        <row r="547">
          <cell r="E547">
            <v>0</v>
          </cell>
        </row>
        <row r="548">
          <cell r="E548">
            <v>0</v>
          </cell>
        </row>
        <row r="549">
          <cell r="E549">
            <v>0</v>
          </cell>
        </row>
        <row r="550">
          <cell r="E550">
            <v>0</v>
          </cell>
        </row>
        <row r="551">
          <cell r="E551">
            <v>0</v>
          </cell>
        </row>
        <row r="552">
          <cell r="E552">
            <v>0</v>
          </cell>
        </row>
        <row r="553">
          <cell r="E553">
            <v>0</v>
          </cell>
        </row>
        <row r="554">
          <cell r="E554">
            <v>0</v>
          </cell>
        </row>
        <row r="556">
          <cell r="E556">
            <v>20</v>
          </cell>
        </row>
        <row r="558">
          <cell r="E558">
            <v>10</v>
          </cell>
        </row>
        <row r="560">
          <cell r="E560">
            <v>0</v>
          </cell>
        </row>
      </sheetData>
      <sheetData sheetId="18">
        <row r="5">
          <cell r="E5" t="str">
            <v>CANTIDAD</v>
          </cell>
        </row>
        <row r="11">
          <cell r="E11">
            <v>22.94</v>
          </cell>
        </row>
        <row r="19">
          <cell r="E19">
            <v>3.38</v>
          </cell>
        </row>
        <row r="21">
          <cell r="E21">
            <v>1</v>
          </cell>
        </row>
        <row r="23">
          <cell r="E23">
            <v>1</v>
          </cell>
        </row>
        <row r="31">
          <cell r="E31">
            <v>2</v>
          </cell>
        </row>
        <row r="35">
          <cell r="E35">
            <v>180</v>
          </cell>
        </row>
        <row r="37">
          <cell r="E37">
            <v>2</v>
          </cell>
        </row>
        <row r="39">
          <cell r="E39">
            <v>31.83</v>
          </cell>
        </row>
        <row r="49">
          <cell r="E49">
            <v>139.12</v>
          </cell>
        </row>
        <row r="53">
          <cell r="E53">
            <v>40.93</v>
          </cell>
        </row>
        <row r="55">
          <cell r="E55">
            <v>75.52</v>
          </cell>
        </row>
        <row r="57">
          <cell r="E57">
            <v>43.48</v>
          </cell>
        </row>
        <row r="61">
          <cell r="E61">
            <v>15</v>
          </cell>
        </row>
        <row r="63">
          <cell r="E63">
            <v>4</v>
          </cell>
        </row>
        <row r="65">
          <cell r="E65">
            <v>42.2</v>
          </cell>
        </row>
        <row r="71">
          <cell r="E71">
            <v>1</v>
          </cell>
        </row>
        <row r="73">
          <cell r="E73">
            <v>2</v>
          </cell>
        </row>
        <row r="75">
          <cell r="E75">
            <v>1</v>
          </cell>
        </row>
        <row r="77">
          <cell r="E77">
            <v>1</v>
          </cell>
        </row>
        <row r="79">
          <cell r="E79">
            <v>5</v>
          </cell>
        </row>
        <row r="83">
          <cell r="E83">
            <v>6</v>
          </cell>
        </row>
        <row r="85">
          <cell r="E85">
            <v>15</v>
          </cell>
        </row>
        <row r="89">
          <cell r="E89">
            <v>2</v>
          </cell>
        </row>
        <row r="99">
          <cell r="E99">
            <v>15.3</v>
          </cell>
        </row>
        <row r="107">
          <cell r="E107">
            <v>6.72</v>
          </cell>
        </row>
        <row r="123">
          <cell r="E123">
            <v>0</v>
          </cell>
        </row>
        <row r="124">
          <cell r="E124">
            <v>0</v>
          </cell>
        </row>
        <row r="125">
          <cell r="E125">
            <v>0</v>
          </cell>
        </row>
        <row r="126">
          <cell r="E126">
            <v>0</v>
          </cell>
        </row>
        <row r="143">
          <cell r="E143">
            <v>310</v>
          </cell>
        </row>
        <row r="155">
          <cell r="E155">
            <v>15</v>
          </cell>
        </row>
        <row r="165">
          <cell r="E165">
            <v>13</v>
          </cell>
        </row>
        <row r="175">
          <cell r="E175">
            <v>4</v>
          </cell>
        </row>
        <row r="177">
          <cell r="E177">
            <v>6</v>
          </cell>
        </row>
        <row r="179">
          <cell r="E179">
            <v>2</v>
          </cell>
        </row>
        <row r="195">
          <cell r="E195">
            <v>4</v>
          </cell>
        </row>
        <row r="211">
          <cell r="E211">
            <v>4</v>
          </cell>
        </row>
        <row r="225">
          <cell r="E225">
            <v>2</v>
          </cell>
        </row>
        <row r="233">
          <cell r="E233">
            <v>2</v>
          </cell>
        </row>
        <row r="267">
          <cell r="E267">
            <v>3</v>
          </cell>
        </row>
        <row r="269">
          <cell r="E269">
            <v>1</v>
          </cell>
        </row>
        <row r="318">
          <cell r="E318">
            <v>4</v>
          </cell>
        </row>
        <row r="320">
          <cell r="E320">
            <v>2</v>
          </cell>
        </row>
        <row r="424">
          <cell r="E424">
            <v>4</v>
          </cell>
        </row>
        <row r="450">
          <cell r="E450">
            <v>1723.2</v>
          </cell>
        </row>
        <row r="454">
          <cell r="E454">
            <v>1463</v>
          </cell>
        </row>
        <row r="456">
          <cell r="E456">
            <v>2</v>
          </cell>
        </row>
        <row r="457">
          <cell r="E457">
            <v>0</v>
          </cell>
        </row>
        <row r="458">
          <cell r="E458">
            <v>0</v>
          </cell>
        </row>
        <row r="459">
          <cell r="E459">
            <v>0</v>
          </cell>
        </row>
        <row r="460">
          <cell r="E460">
            <v>0</v>
          </cell>
        </row>
        <row r="461">
          <cell r="E461">
            <v>0</v>
          </cell>
        </row>
        <row r="462">
          <cell r="E462">
            <v>4</v>
          </cell>
        </row>
        <row r="467">
          <cell r="E467">
            <v>0</v>
          </cell>
        </row>
        <row r="468">
          <cell r="E468">
            <v>0</v>
          </cell>
        </row>
        <row r="469">
          <cell r="E469">
            <v>0</v>
          </cell>
        </row>
        <row r="470">
          <cell r="E470">
            <v>0</v>
          </cell>
        </row>
        <row r="471">
          <cell r="E471">
            <v>0</v>
          </cell>
        </row>
        <row r="472">
          <cell r="E472">
            <v>0</v>
          </cell>
        </row>
        <row r="473">
          <cell r="E473">
            <v>0</v>
          </cell>
        </row>
        <row r="474">
          <cell r="E474">
            <v>0</v>
          </cell>
        </row>
        <row r="475">
          <cell r="E475">
            <v>0</v>
          </cell>
        </row>
        <row r="476">
          <cell r="E476">
            <v>0</v>
          </cell>
        </row>
        <row r="477">
          <cell r="E477">
            <v>0</v>
          </cell>
        </row>
        <row r="478">
          <cell r="E478">
            <v>0</v>
          </cell>
        </row>
        <row r="479">
          <cell r="E479">
            <v>0</v>
          </cell>
        </row>
        <row r="484">
          <cell r="E484">
            <v>0</v>
          </cell>
        </row>
        <row r="485">
          <cell r="E485">
            <v>0</v>
          </cell>
        </row>
        <row r="486">
          <cell r="E486">
            <v>0</v>
          </cell>
        </row>
        <row r="487">
          <cell r="E487">
            <v>0</v>
          </cell>
        </row>
        <row r="488">
          <cell r="E488">
            <v>4</v>
          </cell>
        </row>
        <row r="491">
          <cell r="E491">
            <v>0</v>
          </cell>
        </row>
        <row r="492">
          <cell r="E492">
            <v>0</v>
          </cell>
        </row>
        <row r="493">
          <cell r="E493">
            <v>0</v>
          </cell>
        </row>
        <row r="494">
          <cell r="E494">
            <v>4</v>
          </cell>
        </row>
        <row r="495">
          <cell r="E495">
            <v>0</v>
          </cell>
        </row>
        <row r="496">
          <cell r="E496">
            <v>2</v>
          </cell>
        </row>
        <row r="497">
          <cell r="E497">
            <v>0</v>
          </cell>
        </row>
        <row r="498">
          <cell r="E498">
            <v>0</v>
          </cell>
        </row>
        <row r="499">
          <cell r="E499">
            <v>0</v>
          </cell>
        </row>
        <row r="503">
          <cell r="E503">
            <v>0</v>
          </cell>
        </row>
        <row r="504">
          <cell r="E504">
            <v>0</v>
          </cell>
        </row>
        <row r="505">
          <cell r="E505">
            <v>0</v>
          </cell>
        </row>
        <row r="506">
          <cell r="E506">
            <v>0</v>
          </cell>
        </row>
        <row r="507">
          <cell r="E507">
            <v>0</v>
          </cell>
        </row>
        <row r="508">
          <cell r="E508">
            <v>0</v>
          </cell>
        </row>
        <row r="509">
          <cell r="E509">
            <v>0</v>
          </cell>
        </row>
        <row r="510">
          <cell r="E510">
            <v>0</v>
          </cell>
        </row>
        <row r="511">
          <cell r="E511">
            <v>0</v>
          </cell>
        </row>
        <row r="512">
          <cell r="E512">
            <v>0</v>
          </cell>
        </row>
        <row r="513">
          <cell r="E513">
            <v>0</v>
          </cell>
        </row>
        <row r="514">
          <cell r="E514">
            <v>0</v>
          </cell>
        </row>
        <row r="515">
          <cell r="E515">
            <v>0</v>
          </cell>
        </row>
        <row r="523">
          <cell r="E523">
            <v>0</v>
          </cell>
        </row>
        <row r="524">
          <cell r="E524">
            <v>4</v>
          </cell>
        </row>
        <row r="525">
          <cell r="E525">
            <v>0</v>
          </cell>
        </row>
        <row r="526">
          <cell r="E526">
            <v>0</v>
          </cell>
        </row>
        <row r="527">
          <cell r="E527">
            <v>0</v>
          </cell>
        </row>
        <row r="528">
          <cell r="E528">
            <v>2</v>
          </cell>
        </row>
        <row r="529">
          <cell r="E529">
            <v>0</v>
          </cell>
        </row>
        <row r="530">
          <cell r="E530">
            <v>0</v>
          </cell>
        </row>
        <row r="531">
          <cell r="E531">
            <v>0</v>
          </cell>
        </row>
        <row r="532">
          <cell r="E532">
            <v>310</v>
          </cell>
        </row>
        <row r="533">
          <cell r="E533">
            <v>0</v>
          </cell>
        </row>
        <row r="534">
          <cell r="E534">
            <v>0</v>
          </cell>
        </row>
        <row r="535">
          <cell r="E535">
            <v>0</v>
          </cell>
        </row>
        <row r="536">
          <cell r="E536">
            <v>0</v>
          </cell>
        </row>
        <row r="537">
          <cell r="E537">
            <v>0</v>
          </cell>
        </row>
        <row r="538">
          <cell r="E538">
            <v>0</v>
          </cell>
        </row>
        <row r="539">
          <cell r="E539">
            <v>0</v>
          </cell>
        </row>
        <row r="540">
          <cell r="E540">
            <v>0</v>
          </cell>
        </row>
        <row r="541">
          <cell r="E541">
            <v>0</v>
          </cell>
        </row>
        <row r="542">
          <cell r="E542">
            <v>0</v>
          </cell>
        </row>
        <row r="543">
          <cell r="E543">
            <v>0</v>
          </cell>
        </row>
        <row r="544">
          <cell r="E544">
            <v>0</v>
          </cell>
        </row>
        <row r="545">
          <cell r="E545">
            <v>0</v>
          </cell>
        </row>
        <row r="546">
          <cell r="E546">
            <v>0</v>
          </cell>
        </row>
        <row r="547">
          <cell r="E547">
            <v>0</v>
          </cell>
        </row>
        <row r="548">
          <cell r="E548">
            <v>0</v>
          </cell>
        </row>
        <row r="549">
          <cell r="E549">
            <v>0</v>
          </cell>
        </row>
        <row r="550">
          <cell r="E550">
            <v>0</v>
          </cell>
        </row>
        <row r="551">
          <cell r="E551">
            <v>0</v>
          </cell>
        </row>
        <row r="552">
          <cell r="E552">
            <v>0</v>
          </cell>
        </row>
        <row r="553">
          <cell r="E553">
            <v>0</v>
          </cell>
        </row>
        <row r="554">
          <cell r="E554">
            <v>0</v>
          </cell>
        </row>
        <row r="556">
          <cell r="E556">
            <v>20</v>
          </cell>
        </row>
        <row r="558">
          <cell r="E558">
            <v>10</v>
          </cell>
        </row>
        <row r="560">
          <cell r="E560">
            <v>0</v>
          </cell>
        </row>
      </sheetData>
      <sheetData sheetId="19">
        <row r="5">
          <cell r="E5" t="str">
            <v>CANTIDAD</v>
          </cell>
        </row>
        <row r="11">
          <cell r="E11">
            <v>29.76</v>
          </cell>
        </row>
        <row r="13">
          <cell r="E13">
            <v>1</v>
          </cell>
        </row>
        <row r="15">
          <cell r="E15">
            <v>6</v>
          </cell>
        </row>
        <row r="19">
          <cell r="E19">
            <v>4.6100000000000003</v>
          </cell>
        </row>
        <row r="21">
          <cell r="E21">
            <v>2</v>
          </cell>
        </row>
        <row r="23">
          <cell r="E23">
            <v>2</v>
          </cell>
        </row>
        <row r="31">
          <cell r="E31">
            <v>2</v>
          </cell>
        </row>
        <row r="35">
          <cell r="E35">
            <v>228</v>
          </cell>
        </row>
        <row r="37">
          <cell r="E37">
            <v>3</v>
          </cell>
        </row>
        <row r="39">
          <cell r="E39">
            <v>35.520000000000003</v>
          </cell>
        </row>
        <row r="49">
          <cell r="E49">
            <v>174.69</v>
          </cell>
        </row>
        <row r="53">
          <cell r="E53">
            <v>53.76</v>
          </cell>
        </row>
        <row r="55">
          <cell r="E55">
            <v>82.68</v>
          </cell>
        </row>
        <row r="57">
          <cell r="E57">
            <v>55.18</v>
          </cell>
        </row>
        <row r="61">
          <cell r="E61">
            <v>22</v>
          </cell>
        </row>
        <row r="63">
          <cell r="E63">
            <v>3</v>
          </cell>
        </row>
        <row r="65">
          <cell r="E65">
            <v>57.6</v>
          </cell>
        </row>
        <row r="69">
          <cell r="E69">
            <v>2</v>
          </cell>
        </row>
        <row r="71">
          <cell r="E71">
            <v>2</v>
          </cell>
        </row>
        <row r="73">
          <cell r="E73">
            <v>4</v>
          </cell>
        </row>
        <row r="75">
          <cell r="E75">
            <v>2</v>
          </cell>
        </row>
        <row r="77">
          <cell r="E77">
            <v>2</v>
          </cell>
        </row>
        <row r="83">
          <cell r="E83">
            <v>5</v>
          </cell>
        </row>
        <row r="85">
          <cell r="E85">
            <v>23</v>
          </cell>
        </row>
        <row r="89">
          <cell r="E89">
            <v>2.74</v>
          </cell>
        </row>
        <row r="99">
          <cell r="E99">
            <v>19.84</v>
          </cell>
        </row>
        <row r="101">
          <cell r="E101">
            <v>1</v>
          </cell>
        </row>
        <row r="123">
          <cell r="E123">
            <v>0</v>
          </cell>
        </row>
        <row r="124">
          <cell r="E124">
            <v>0</v>
          </cell>
        </row>
        <row r="125">
          <cell r="E125">
            <v>0</v>
          </cell>
        </row>
        <row r="126">
          <cell r="E126">
            <v>0</v>
          </cell>
        </row>
        <row r="127">
          <cell r="E127">
            <v>420</v>
          </cell>
        </row>
        <row r="157">
          <cell r="E157">
            <v>19</v>
          </cell>
        </row>
        <row r="165">
          <cell r="E165">
            <v>10</v>
          </cell>
        </row>
        <row r="175">
          <cell r="E175">
            <v>2</v>
          </cell>
        </row>
        <row r="177">
          <cell r="E177">
            <v>4</v>
          </cell>
        </row>
        <row r="179">
          <cell r="E179">
            <v>2</v>
          </cell>
        </row>
        <row r="197">
          <cell r="E197">
            <v>4</v>
          </cell>
        </row>
        <row r="213">
          <cell r="E213">
            <v>2</v>
          </cell>
        </row>
        <row r="219">
          <cell r="E219">
            <v>4</v>
          </cell>
        </row>
        <row r="263">
          <cell r="E263">
            <v>1</v>
          </cell>
        </row>
        <row r="273">
          <cell r="E273">
            <v>1</v>
          </cell>
        </row>
        <row r="294">
          <cell r="E294">
            <v>4</v>
          </cell>
        </row>
        <row r="296">
          <cell r="E296">
            <v>4</v>
          </cell>
        </row>
        <row r="298">
          <cell r="E298">
            <v>2</v>
          </cell>
        </row>
        <row r="422">
          <cell r="E422">
            <v>165</v>
          </cell>
        </row>
        <row r="424">
          <cell r="E424">
            <v>2</v>
          </cell>
        </row>
        <row r="450">
          <cell r="E450">
            <v>3438.1</v>
          </cell>
        </row>
        <row r="454">
          <cell r="E454">
            <v>2909.3</v>
          </cell>
        </row>
        <row r="456">
          <cell r="E456">
            <v>2</v>
          </cell>
        </row>
        <row r="457">
          <cell r="E457">
            <v>0</v>
          </cell>
        </row>
        <row r="458">
          <cell r="E458">
            <v>0</v>
          </cell>
        </row>
        <row r="459">
          <cell r="E459">
            <v>0</v>
          </cell>
        </row>
        <row r="460">
          <cell r="E460">
            <v>0</v>
          </cell>
        </row>
        <row r="461">
          <cell r="E461">
            <v>0</v>
          </cell>
        </row>
        <row r="462">
          <cell r="E462">
            <v>2</v>
          </cell>
        </row>
        <row r="467">
          <cell r="E467">
            <v>0</v>
          </cell>
        </row>
        <row r="468">
          <cell r="E468">
            <v>0</v>
          </cell>
        </row>
        <row r="469">
          <cell r="E469">
            <v>0</v>
          </cell>
        </row>
        <row r="470">
          <cell r="E470">
            <v>0</v>
          </cell>
        </row>
        <row r="471">
          <cell r="E471">
            <v>0</v>
          </cell>
        </row>
        <row r="472">
          <cell r="E472">
            <v>0</v>
          </cell>
        </row>
        <row r="473">
          <cell r="E473">
            <v>0</v>
          </cell>
        </row>
        <row r="474">
          <cell r="E474">
            <v>0</v>
          </cell>
        </row>
        <row r="475">
          <cell r="E475">
            <v>0</v>
          </cell>
        </row>
        <row r="476">
          <cell r="E476">
            <v>4</v>
          </cell>
        </row>
        <row r="477">
          <cell r="E477">
            <v>0</v>
          </cell>
        </row>
        <row r="478">
          <cell r="E478">
            <v>0</v>
          </cell>
        </row>
        <row r="479">
          <cell r="E479">
            <v>0</v>
          </cell>
        </row>
        <row r="484">
          <cell r="E484">
            <v>0</v>
          </cell>
        </row>
        <row r="485">
          <cell r="E485">
            <v>0</v>
          </cell>
        </row>
        <row r="486">
          <cell r="E486">
            <v>0</v>
          </cell>
        </row>
        <row r="487">
          <cell r="E487">
            <v>0</v>
          </cell>
        </row>
        <row r="488">
          <cell r="E488">
            <v>2</v>
          </cell>
        </row>
        <row r="491">
          <cell r="E491">
            <v>0</v>
          </cell>
        </row>
        <row r="492">
          <cell r="E492">
            <v>0</v>
          </cell>
        </row>
        <row r="493">
          <cell r="E493">
            <v>0</v>
          </cell>
        </row>
        <row r="494">
          <cell r="E494">
            <v>2</v>
          </cell>
        </row>
        <row r="495">
          <cell r="E495">
            <v>0</v>
          </cell>
        </row>
        <row r="496">
          <cell r="E496">
            <v>2</v>
          </cell>
        </row>
        <row r="497">
          <cell r="E497">
            <v>0</v>
          </cell>
        </row>
        <row r="498">
          <cell r="E498">
            <v>0</v>
          </cell>
        </row>
        <row r="499">
          <cell r="E499">
            <v>0</v>
          </cell>
        </row>
        <row r="503">
          <cell r="E503">
            <v>0</v>
          </cell>
        </row>
        <row r="504">
          <cell r="E504">
            <v>0</v>
          </cell>
        </row>
        <row r="505">
          <cell r="E505">
            <v>0</v>
          </cell>
        </row>
        <row r="506">
          <cell r="E506">
            <v>0</v>
          </cell>
        </row>
        <row r="507">
          <cell r="E507">
            <v>0</v>
          </cell>
        </row>
        <row r="508">
          <cell r="E508">
            <v>0</v>
          </cell>
        </row>
        <row r="509">
          <cell r="E509">
            <v>0</v>
          </cell>
        </row>
        <row r="510">
          <cell r="E510">
            <v>0</v>
          </cell>
        </row>
        <row r="511">
          <cell r="E511">
            <v>0</v>
          </cell>
        </row>
        <row r="512">
          <cell r="E512">
            <v>0</v>
          </cell>
        </row>
        <row r="513">
          <cell r="E513">
            <v>0</v>
          </cell>
        </row>
        <row r="514">
          <cell r="E514">
            <v>0</v>
          </cell>
        </row>
        <row r="515">
          <cell r="E515">
            <v>0</v>
          </cell>
        </row>
        <row r="523">
          <cell r="E523">
            <v>0</v>
          </cell>
        </row>
        <row r="524">
          <cell r="E524">
            <v>6</v>
          </cell>
        </row>
        <row r="525">
          <cell r="E525">
            <v>0</v>
          </cell>
        </row>
        <row r="526">
          <cell r="E526">
            <v>0</v>
          </cell>
        </row>
        <row r="527">
          <cell r="E527">
            <v>0</v>
          </cell>
        </row>
        <row r="528">
          <cell r="E528">
            <v>4</v>
          </cell>
        </row>
        <row r="529">
          <cell r="E529">
            <v>0</v>
          </cell>
        </row>
        <row r="530">
          <cell r="E530">
            <v>0</v>
          </cell>
        </row>
        <row r="531">
          <cell r="E531">
            <v>0</v>
          </cell>
        </row>
        <row r="532">
          <cell r="E532">
            <v>420</v>
          </cell>
        </row>
        <row r="533">
          <cell r="E533">
            <v>0</v>
          </cell>
        </row>
        <row r="534">
          <cell r="E534">
            <v>0</v>
          </cell>
        </row>
        <row r="535">
          <cell r="E535">
            <v>0</v>
          </cell>
        </row>
        <row r="536">
          <cell r="E536">
            <v>0</v>
          </cell>
        </row>
        <row r="537">
          <cell r="E537">
            <v>0</v>
          </cell>
        </row>
        <row r="538">
          <cell r="E538">
            <v>0</v>
          </cell>
        </row>
        <row r="539">
          <cell r="E539">
            <v>0</v>
          </cell>
        </row>
        <row r="540">
          <cell r="E540">
            <v>0</v>
          </cell>
        </row>
        <row r="541">
          <cell r="E541">
            <v>0</v>
          </cell>
        </row>
        <row r="542">
          <cell r="E542">
            <v>0</v>
          </cell>
        </row>
        <row r="543">
          <cell r="E543">
            <v>0</v>
          </cell>
        </row>
        <row r="544">
          <cell r="E544">
            <v>0</v>
          </cell>
        </row>
        <row r="545">
          <cell r="E545">
            <v>0</v>
          </cell>
        </row>
        <row r="546">
          <cell r="E546">
            <v>0</v>
          </cell>
        </row>
        <row r="547">
          <cell r="E547">
            <v>0</v>
          </cell>
        </row>
        <row r="548">
          <cell r="E548">
            <v>0</v>
          </cell>
        </row>
        <row r="549">
          <cell r="E549">
            <v>0</v>
          </cell>
        </row>
        <row r="550">
          <cell r="E550">
            <v>0</v>
          </cell>
        </row>
        <row r="551">
          <cell r="E551">
            <v>0</v>
          </cell>
        </row>
        <row r="552">
          <cell r="E552">
            <v>0</v>
          </cell>
        </row>
        <row r="553">
          <cell r="E553">
            <v>0</v>
          </cell>
        </row>
        <row r="554">
          <cell r="E554">
            <v>0</v>
          </cell>
        </row>
        <row r="556">
          <cell r="E556">
            <v>20</v>
          </cell>
        </row>
        <row r="558">
          <cell r="E558">
            <v>10</v>
          </cell>
        </row>
        <row r="560">
          <cell r="E560">
            <v>0</v>
          </cell>
        </row>
      </sheetData>
      <sheetData sheetId="20">
        <row r="5">
          <cell r="E5" t="str">
            <v>CANTIDAD</v>
          </cell>
        </row>
        <row r="11">
          <cell r="E11">
            <v>24.25</v>
          </cell>
        </row>
        <row r="19">
          <cell r="E19">
            <v>2.86</v>
          </cell>
        </row>
        <row r="31">
          <cell r="E31">
            <v>2</v>
          </cell>
        </row>
        <row r="35">
          <cell r="E35">
            <v>165</v>
          </cell>
        </row>
        <row r="37">
          <cell r="E37">
            <v>4</v>
          </cell>
        </row>
        <row r="39">
          <cell r="E39">
            <v>41.26</v>
          </cell>
        </row>
        <row r="49">
          <cell r="E49">
            <v>133.31</v>
          </cell>
        </row>
        <row r="53">
          <cell r="E53">
            <v>34.21</v>
          </cell>
        </row>
        <row r="55">
          <cell r="E55">
            <v>67.94</v>
          </cell>
        </row>
        <row r="57">
          <cell r="E57">
            <v>40.270000000000003</v>
          </cell>
        </row>
        <row r="61">
          <cell r="E61">
            <v>15</v>
          </cell>
        </row>
        <row r="63">
          <cell r="E63">
            <v>2</v>
          </cell>
        </row>
        <row r="65">
          <cell r="E65">
            <v>35.78</v>
          </cell>
        </row>
        <row r="69">
          <cell r="E69">
            <v>2</v>
          </cell>
        </row>
        <row r="71">
          <cell r="E71">
            <v>2</v>
          </cell>
        </row>
        <row r="73">
          <cell r="E73">
            <v>6</v>
          </cell>
        </row>
        <row r="83">
          <cell r="E83">
            <v>6</v>
          </cell>
        </row>
        <row r="85">
          <cell r="E85">
            <v>10</v>
          </cell>
        </row>
        <row r="89">
          <cell r="E89">
            <v>5.0999999999999996</v>
          </cell>
        </row>
        <row r="99">
          <cell r="E99">
            <v>15.11</v>
          </cell>
        </row>
        <row r="123">
          <cell r="E123">
            <v>0</v>
          </cell>
        </row>
        <row r="124">
          <cell r="E124">
            <v>0</v>
          </cell>
        </row>
        <row r="125">
          <cell r="E125">
            <v>0</v>
          </cell>
        </row>
        <row r="126">
          <cell r="E126">
            <v>0</v>
          </cell>
        </row>
        <row r="127">
          <cell r="E127">
            <v>270</v>
          </cell>
        </row>
        <row r="153">
          <cell r="E153">
            <v>3</v>
          </cell>
        </row>
        <row r="155">
          <cell r="E155">
            <v>1</v>
          </cell>
        </row>
        <row r="157">
          <cell r="E157">
            <v>16</v>
          </cell>
        </row>
        <row r="165">
          <cell r="E165">
            <v>15</v>
          </cell>
        </row>
        <row r="171">
          <cell r="E171">
            <v>12</v>
          </cell>
        </row>
        <row r="175">
          <cell r="E175">
            <v>2</v>
          </cell>
        </row>
        <row r="177">
          <cell r="E177">
            <v>2</v>
          </cell>
        </row>
        <row r="179">
          <cell r="E179">
            <v>2</v>
          </cell>
        </row>
        <row r="193">
          <cell r="E193">
            <v>4</v>
          </cell>
        </row>
        <row r="197">
          <cell r="E197">
            <v>4</v>
          </cell>
        </row>
        <row r="209">
          <cell r="E209">
            <v>2</v>
          </cell>
        </row>
        <row r="213">
          <cell r="E213">
            <v>4</v>
          </cell>
        </row>
        <row r="263">
          <cell r="E263">
            <v>1</v>
          </cell>
        </row>
        <row r="294">
          <cell r="E294">
            <v>4</v>
          </cell>
        </row>
        <row r="296">
          <cell r="E296">
            <v>6</v>
          </cell>
        </row>
        <row r="298">
          <cell r="E298">
            <v>2</v>
          </cell>
        </row>
        <row r="368">
          <cell r="E368">
            <v>1</v>
          </cell>
        </row>
        <row r="404">
          <cell r="E404">
            <v>1</v>
          </cell>
        </row>
        <row r="422">
          <cell r="E422">
            <v>250</v>
          </cell>
        </row>
        <row r="424">
          <cell r="E424">
            <v>2</v>
          </cell>
        </row>
        <row r="432">
          <cell r="E432">
            <v>1</v>
          </cell>
        </row>
        <row r="450">
          <cell r="E450">
            <v>3842</v>
          </cell>
        </row>
        <row r="452">
          <cell r="E452">
            <v>167.4</v>
          </cell>
        </row>
        <row r="454">
          <cell r="E454">
            <v>2724</v>
          </cell>
        </row>
        <row r="456">
          <cell r="E456">
            <v>2</v>
          </cell>
        </row>
        <row r="457">
          <cell r="E457">
            <v>0</v>
          </cell>
        </row>
        <row r="458">
          <cell r="E458">
            <v>0</v>
          </cell>
        </row>
        <row r="459">
          <cell r="E459">
            <v>0</v>
          </cell>
        </row>
        <row r="460">
          <cell r="E460">
            <v>0</v>
          </cell>
        </row>
        <row r="461">
          <cell r="E461">
            <v>0</v>
          </cell>
        </row>
        <row r="467">
          <cell r="E467">
            <v>0</v>
          </cell>
        </row>
        <row r="468">
          <cell r="E468">
            <v>0</v>
          </cell>
        </row>
        <row r="469">
          <cell r="E469">
            <v>0</v>
          </cell>
        </row>
        <row r="470">
          <cell r="E470">
            <v>0</v>
          </cell>
        </row>
        <row r="471">
          <cell r="E471">
            <v>0</v>
          </cell>
        </row>
        <row r="472">
          <cell r="E472">
            <v>0</v>
          </cell>
        </row>
        <row r="473">
          <cell r="E473">
            <v>0</v>
          </cell>
        </row>
        <row r="474">
          <cell r="E474">
            <v>0</v>
          </cell>
        </row>
        <row r="475">
          <cell r="E475">
            <v>0</v>
          </cell>
        </row>
        <row r="476">
          <cell r="E476">
            <v>0</v>
          </cell>
        </row>
        <row r="477">
          <cell r="E477">
            <v>0</v>
          </cell>
        </row>
        <row r="478">
          <cell r="E478">
            <v>0</v>
          </cell>
        </row>
        <row r="479">
          <cell r="E479">
            <v>0</v>
          </cell>
        </row>
        <row r="484">
          <cell r="E484">
            <v>0</v>
          </cell>
        </row>
        <row r="485">
          <cell r="E485">
            <v>0</v>
          </cell>
        </row>
        <row r="486">
          <cell r="E486">
            <v>0</v>
          </cell>
        </row>
        <row r="487">
          <cell r="E487">
            <v>0</v>
          </cell>
        </row>
        <row r="491">
          <cell r="E491">
            <v>0</v>
          </cell>
        </row>
        <row r="492">
          <cell r="E492">
            <v>0</v>
          </cell>
        </row>
        <row r="493">
          <cell r="E493">
            <v>0</v>
          </cell>
        </row>
        <row r="494">
          <cell r="E494">
            <v>0</v>
          </cell>
        </row>
        <row r="495">
          <cell r="E495">
            <v>0</v>
          </cell>
        </row>
        <row r="496">
          <cell r="E496">
            <v>0</v>
          </cell>
        </row>
        <row r="497">
          <cell r="E497">
            <v>0</v>
          </cell>
        </row>
        <row r="498">
          <cell r="E498">
            <v>0</v>
          </cell>
        </row>
        <row r="499">
          <cell r="E499">
            <v>0</v>
          </cell>
        </row>
        <row r="503">
          <cell r="E503">
            <v>0</v>
          </cell>
        </row>
        <row r="504">
          <cell r="E504">
            <v>0</v>
          </cell>
        </row>
        <row r="505">
          <cell r="E505">
            <v>0</v>
          </cell>
        </row>
        <row r="506">
          <cell r="E506">
            <v>0</v>
          </cell>
        </row>
        <row r="507">
          <cell r="E507">
            <v>0</v>
          </cell>
        </row>
        <row r="508">
          <cell r="E508">
            <v>0</v>
          </cell>
        </row>
        <row r="509">
          <cell r="E509">
            <v>0</v>
          </cell>
        </row>
        <row r="510">
          <cell r="E510">
            <v>0</v>
          </cell>
        </row>
        <row r="511">
          <cell r="E511">
            <v>0</v>
          </cell>
        </row>
        <row r="512">
          <cell r="E512">
            <v>0</v>
          </cell>
        </row>
        <row r="513">
          <cell r="E513">
            <v>0</v>
          </cell>
        </row>
        <row r="514">
          <cell r="E514">
            <v>0</v>
          </cell>
        </row>
        <row r="515">
          <cell r="E515">
            <v>0</v>
          </cell>
        </row>
        <row r="523">
          <cell r="E523">
            <v>0</v>
          </cell>
        </row>
        <row r="524">
          <cell r="E524">
            <v>0</v>
          </cell>
        </row>
        <row r="525">
          <cell r="E525">
            <v>0</v>
          </cell>
        </row>
        <row r="526">
          <cell r="E526">
            <v>0</v>
          </cell>
        </row>
        <row r="527">
          <cell r="E527">
            <v>0</v>
          </cell>
        </row>
        <row r="528">
          <cell r="E528">
            <v>0</v>
          </cell>
        </row>
        <row r="529">
          <cell r="E529">
            <v>0</v>
          </cell>
        </row>
        <row r="530">
          <cell r="E530">
            <v>0</v>
          </cell>
        </row>
        <row r="531">
          <cell r="E531">
            <v>0</v>
          </cell>
        </row>
        <row r="532">
          <cell r="E532">
            <v>270</v>
          </cell>
        </row>
        <row r="533">
          <cell r="E533">
            <v>0</v>
          </cell>
        </row>
        <row r="534">
          <cell r="E534">
            <v>0</v>
          </cell>
        </row>
        <row r="535">
          <cell r="E535">
            <v>0</v>
          </cell>
        </row>
        <row r="536">
          <cell r="E536">
            <v>0</v>
          </cell>
        </row>
        <row r="537">
          <cell r="E537">
            <v>0</v>
          </cell>
        </row>
        <row r="538">
          <cell r="E538">
            <v>0</v>
          </cell>
        </row>
        <row r="539">
          <cell r="E539">
            <v>0</v>
          </cell>
        </row>
        <row r="540">
          <cell r="E540">
            <v>0</v>
          </cell>
        </row>
        <row r="541">
          <cell r="E541">
            <v>0</v>
          </cell>
        </row>
        <row r="542">
          <cell r="E542">
            <v>0</v>
          </cell>
        </row>
        <row r="543">
          <cell r="E543">
            <v>0</v>
          </cell>
        </row>
        <row r="544">
          <cell r="E544">
            <v>0</v>
          </cell>
        </row>
        <row r="545">
          <cell r="E545">
            <v>0</v>
          </cell>
        </row>
        <row r="546">
          <cell r="E546">
            <v>0</v>
          </cell>
        </row>
        <row r="547">
          <cell r="E547">
            <v>0</v>
          </cell>
        </row>
        <row r="548">
          <cell r="E548">
            <v>0</v>
          </cell>
        </row>
        <row r="549">
          <cell r="E549">
            <v>0</v>
          </cell>
        </row>
        <row r="550">
          <cell r="E550">
            <v>0</v>
          </cell>
        </row>
        <row r="551">
          <cell r="E551">
            <v>0</v>
          </cell>
        </row>
        <row r="552">
          <cell r="E552">
            <v>0</v>
          </cell>
        </row>
        <row r="553">
          <cell r="E553">
            <v>0</v>
          </cell>
        </row>
        <row r="554">
          <cell r="E554">
            <v>0</v>
          </cell>
        </row>
        <row r="556">
          <cell r="E556">
            <v>20</v>
          </cell>
        </row>
        <row r="558">
          <cell r="E558">
            <v>10</v>
          </cell>
        </row>
        <row r="560">
          <cell r="E560">
            <v>0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TA"/>
      <sheetName val="BASE"/>
      <sheetName val="BASE CTOS"/>
      <sheetName val="PRELIM"/>
      <sheetName val="TUBERIA"/>
      <sheetName val="EXCAVA"/>
      <sheetName val="RESUMEN OBRAS "/>
      <sheetName val="1. Caja de Control y Aforo"/>
      <sheetName val="1. APU CAJA CONTROL"/>
      <sheetName val="2. Desarenador"/>
      <sheetName val="2. APU DESARENADOR"/>
      <sheetName val="3. Conducción"/>
      <sheetName val="3. APU CONDUCCIÓN"/>
      <sheetName val="4. Tanques Existentes"/>
      <sheetName val="4. APU Tanques Existentes"/>
      <sheetName val="5. Red Distribución"/>
      <sheetName val="5. APU Red Distribución"/>
      <sheetName val="6.  Opt. PTAP existente"/>
      <sheetName val="6. APU OPT PTAP"/>
      <sheetName val="RES MATERERIALES ACUEDUCTO"/>
      <sheetName val="BASE_CTOS"/>
      <sheetName val="RESUMEN_OBRAS_"/>
      <sheetName val="1__Caja_de_Control_y_Aforo"/>
      <sheetName val="1__APU_CAJA_CONTROL"/>
      <sheetName val="2__Desarenador"/>
      <sheetName val="2__APU_DESARENADOR"/>
      <sheetName val="3__Conducción"/>
      <sheetName val="3__APU_CONDUCCIÓN"/>
      <sheetName val="4__Tanques_Existentes"/>
      <sheetName val="4__APU_Tanques_Existentes"/>
      <sheetName val="5__Red_Distribución"/>
      <sheetName val="5__APU_Red_Distribución"/>
      <sheetName val="6___Opt__PTAP_existente"/>
      <sheetName val="6__APU_OPT_PTAP"/>
      <sheetName val="RES_MATERERIALES_ACUEDUCTO"/>
      <sheetName val="BASE_CTOS1"/>
      <sheetName val="RESUMEN_OBRAS_1"/>
      <sheetName val="1__Caja_de_Control_y_Aforo1"/>
      <sheetName val="1__APU_CAJA_CONTROL1"/>
      <sheetName val="2__Desarenador1"/>
      <sheetName val="2__APU_DESARENADOR1"/>
      <sheetName val="3__Conducción1"/>
      <sheetName val="3__APU_CONDUCCIÓN1"/>
      <sheetName val="4__Tanques_Existentes1"/>
      <sheetName val="4__APU_Tanques_Existentes1"/>
      <sheetName val="5__Red_Distribución1"/>
      <sheetName val="5__APU_Red_Distribución1"/>
      <sheetName val="6___Opt__PTAP_existente1"/>
      <sheetName val="6__APU_OPT_PTAP1"/>
      <sheetName val="RES_MATERERIALES_ACUEDUCTO1"/>
      <sheetName val="BASE_CTOS5"/>
      <sheetName val="RESUMEN_OBRAS_5"/>
      <sheetName val="1__Caja_de_Control_y_Aforo5"/>
      <sheetName val="1__APU_CAJA_CONTROL5"/>
      <sheetName val="2__Desarenador5"/>
      <sheetName val="2__APU_DESARENADOR5"/>
      <sheetName val="3__Conducción5"/>
      <sheetName val="3__APU_CONDUCCIÓN5"/>
      <sheetName val="4__Tanques_Existentes5"/>
      <sheetName val="4__APU_Tanques_Existentes5"/>
      <sheetName val="5__Red_Distribución5"/>
      <sheetName val="5__APU_Red_Distribución5"/>
      <sheetName val="6___Opt__PTAP_existente5"/>
      <sheetName val="6__APU_OPT_PTAP5"/>
      <sheetName val="RES_MATERERIALES_ACUEDUCTO5"/>
      <sheetName val="BASE_CTOS2"/>
      <sheetName val="RESUMEN_OBRAS_2"/>
      <sheetName val="1__Caja_de_Control_y_Aforo2"/>
      <sheetName val="1__APU_CAJA_CONTROL2"/>
      <sheetName val="2__Desarenador2"/>
      <sheetName val="2__APU_DESARENADOR2"/>
      <sheetName val="3__Conducción2"/>
      <sheetName val="3__APU_CONDUCCIÓN2"/>
      <sheetName val="4__Tanques_Existentes2"/>
      <sheetName val="4__APU_Tanques_Existentes2"/>
      <sheetName val="5__Red_Distribución2"/>
      <sheetName val="5__APU_Red_Distribución2"/>
      <sheetName val="6___Opt__PTAP_existente2"/>
      <sheetName val="6__APU_OPT_PTAP2"/>
      <sheetName val="RES_MATERERIALES_ACUEDUCTO2"/>
      <sheetName val="BASE_CTOS3"/>
      <sheetName val="RESUMEN_OBRAS_3"/>
      <sheetName val="1__Caja_de_Control_y_Aforo3"/>
      <sheetName val="1__APU_CAJA_CONTROL3"/>
      <sheetName val="2__Desarenador3"/>
      <sheetName val="2__APU_DESARENADOR3"/>
      <sheetName val="3__Conducción3"/>
      <sheetName val="3__APU_CONDUCCIÓN3"/>
      <sheetName val="4__Tanques_Existentes3"/>
      <sheetName val="4__APU_Tanques_Existentes3"/>
      <sheetName val="5__Red_Distribución3"/>
      <sheetName val="5__APU_Red_Distribución3"/>
      <sheetName val="6___Opt__PTAP_existente3"/>
      <sheetName val="6__APU_OPT_PTAP3"/>
      <sheetName val="RES_MATERERIALES_ACUEDUCTO3"/>
      <sheetName val="BASE_CTOS4"/>
      <sheetName val="RESUMEN_OBRAS_4"/>
      <sheetName val="1__Caja_de_Control_y_Aforo4"/>
      <sheetName val="1__APU_CAJA_CONTROL4"/>
      <sheetName val="2__Desarenador4"/>
      <sheetName val="2__APU_DESARENADOR4"/>
      <sheetName val="3__Conducción4"/>
      <sheetName val="3__APU_CONDUCCIÓN4"/>
      <sheetName val="4__Tanques_Existentes4"/>
      <sheetName val="4__APU_Tanques_Existentes4"/>
      <sheetName val="5__Red_Distribución4"/>
      <sheetName val="5__APU_Red_Distribución4"/>
      <sheetName val="6___Opt__PTAP_existente4"/>
      <sheetName val="6__APU_OPT_PTAP4"/>
      <sheetName val="RES_MATERERIALES_ACUEDUCTO4"/>
      <sheetName val="BASE_CTOS6"/>
      <sheetName val="RESUMEN_OBRAS_6"/>
      <sheetName val="1__Caja_de_Control_y_Aforo6"/>
      <sheetName val="1__APU_CAJA_CONTROL6"/>
      <sheetName val="2__Desarenador6"/>
      <sheetName val="2__APU_DESARENADOR6"/>
      <sheetName val="3__Conducción6"/>
      <sheetName val="3__APU_CONDUCCIÓN6"/>
      <sheetName val="4__Tanques_Existentes6"/>
      <sheetName val="4__APU_Tanques_Existentes6"/>
      <sheetName val="5__Red_Distribución6"/>
      <sheetName val="5__APU_Red_Distribución6"/>
      <sheetName val="6___Opt__PTAP_existente6"/>
      <sheetName val="6__APU_OPT_PTAP6"/>
      <sheetName val="RES_MATERERIALES_ACUEDUCTO6"/>
    </sheetNames>
    <sheetDataSet>
      <sheetData sheetId="0"/>
      <sheetData sheetId="1">
        <row r="136">
          <cell r="D136">
            <v>18202.719999999998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U"/>
      <sheetName val="PRESTA"/>
      <sheetName val="BASE"/>
      <sheetName val="BASE CTOS"/>
      <sheetName val="PRELIM"/>
      <sheetName val="TUBERIA"/>
      <sheetName val="EXCAVA"/>
      <sheetName val="BASE_CTOS"/>
      <sheetName val="BASE_CTOS1"/>
      <sheetName val="BASE_CTOS5"/>
      <sheetName val="BASE_CTOS2"/>
      <sheetName val="BASE_CTOS3"/>
      <sheetName val="BASE_CTOS4"/>
      <sheetName val="BASE_CTOS6"/>
    </sheetNames>
    <sheetDataSet>
      <sheetData sheetId="0" refreshError="1"/>
      <sheetData sheetId="1" refreshError="1"/>
      <sheetData sheetId="2">
        <row r="245">
          <cell r="D245">
            <v>74466.2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U"/>
      <sheetName val="PRESTA"/>
      <sheetName val="BASE"/>
      <sheetName val="BASE CTOS"/>
      <sheetName val="PRELIM"/>
      <sheetName val="TUBERIA"/>
      <sheetName val="EXCAVA"/>
      <sheetName val="BASE_CTOS"/>
      <sheetName val="BASE_CTOS1"/>
      <sheetName val="BASE_CTOS5"/>
      <sheetName val="BASE_CTOS2"/>
      <sheetName val="BASE_CTOS3"/>
      <sheetName val="BASE_CTOS4"/>
      <sheetName val="BASE_CTOS6"/>
    </sheetNames>
    <sheetDataSet>
      <sheetData sheetId="0" refreshError="1"/>
      <sheetData sheetId="1" refreshError="1"/>
      <sheetData sheetId="2" refreshError="1">
        <row r="3">
          <cell r="C3">
            <v>0.25</v>
          </cell>
        </row>
        <row r="392">
          <cell r="D392">
            <v>71500</v>
          </cell>
        </row>
        <row r="394">
          <cell r="D394">
            <v>19800</v>
          </cell>
        </row>
        <row r="395">
          <cell r="D395">
            <v>14400</v>
          </cell>
        </row>
        <row r="396">
          <cell r="D396">
            <v>7250</v>
          </cell>
        </row>
        <row r="401">
          <cell r="D401">
            <v>5120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4. G1 Norte"/>
      <sheetName val="4__G1_Norte"/>
      <sheetName val="4__G1_Norte1"/>
      <sheetName val="4__G1_Norte5"/>
      <sheetName val="4__G1_Norte2"/>
      <sheetName val="4__G1_Norte3"/>
      <sheetName val="4__G1_Norte4"/>
      <sheetName val="4__G1_Norte6"/>
    </sheetNames>
    <sheetDataSet>
      <sheetData sheetId="0">
        <row r="5">
          <cell r="A5">
            <v>4010000</v>
          </cell>
          <cell r="B5" t="str">
            <v>ACTIVIDADES PRELIMINARES</v>
          </cell>
          <cell r="D5">
            <v>0</v>
          </cell>
          <cell r="E5">
            <v>0</v>
          </cell>
          <cell r="F5">
            <v>62910244</v>
          </cell>
        </row>
        <row r="6">
          <cell r="A6">
            <v>4015100</v>
          </cell>
          <cell r="B6" t="str">
            <v>DEMOL. DE CORDONES Y CUNETAS</v>
          </cell>
          <cell r="D6">
            <v>0</v>
          </cell>
          <cell r="E6">
            <v>0</v>
          </cell>
          <cell r="F6">
            <v>1676272</v>
          </cell>
        </row>
        <row r="7">
          <cell r="A7">
            <v>4015103</v>
          </cell>
          <cell r="B7" t="str">
            <v>Demolición de cordones</v>
          </cell>
          <cell r="C7" t="str">
            <v>m3</v>
          </cell>
          <cell r="D7">
            <v>26</v>
          </cell>
          <cell r="E7">
            <v>64472</v>
          </cell>
          <cell r="F7">
            <v>1676272</v>
          </cell>
        </row>
        <row r="8">
          <cell r="A8">
            <v>4015200</v>
          </cell>
          <cell r="B8" t="str">
            <v>DEMOLICIÓN DE ANDENES</v>
          </cell>
          <cell r="D8">
            <v>0</v>
          </cell>
          <cell r="E8">
            <v>0</v>
          </cell>
          <cell r="F8">
            <v>58275360</v>
          </cell>
        </row>
        <row r="9">
          <cell r="A9">
            <v>4015201</v>
          </cell>
          <cell r="B9" t="str">
            <v>Demolición de andenes</v>
          </cell>
          <cell r="C9" t="str">
            <v>m3</v>
          </cell>
          <cell r="D9">
            <v>990</v>
          </cell>
          <cell r="E9">
            <v>58864</v>
          </cell>
          <cell r="F9">
            <v>58275360</v>
          </cell>
        </row>
        <row r="10">
          <cell r="A10">
            <v>4015300</v>
          </cell>
          <cell r="B10" t="str">
            <v>DEMOL. C.I. Y TUB. CTO. EMPOT.</v>
          </cell>
          <cell r="D10">
            <v>0</v>
          </cell>
          <cell r="E10">
            <v>0</v>
          </cell>
          <cell r="F10">
            <v>198464</v>
          </cell>
        </row>
        <row r="11">
          <cell r="A11">
            <v>4015322</v>
          </cell>
          <cell r="B11" t="str">
            <v>Demolición de cajas válvulas</v>
          </cell>
          <cell r="C11" t="str">
            <v>un</v>
          </cell>
          <cell r="D11">
            <v>32</v>
          </cell>
          <cell r="E11">
            <v>6202</v>
          </cell>
          <cell r="F11">
            <v>198464</v>
          </cell>
        </row>
        <row r="12">
          <cell r="A12">
            <v>4015400</v>
          </cell>
          <cell r="B12" t="str">
            <v>DEMOLICIÓN DE SUMIDEROS</v>
          </cell>
          <cell r="D12">
            <v>0</v>
          </cell>
          <cell r="E12">
            <v>0</v>
          </cell>
          <cell r="F12">
            <v>209400</v>
          </cell>
        </row>
        <row r="13">
          <cell r="A13">
            <v>4015401</v>
          </cell>
          <cell r="B13" t="str">
            <v>Demolicion de sumideros</v>
          </cell>
          <cell r="C13" t="str">
            <v>un</v>
          </cell>
          <cell r="D13">
            <v>5</v>
          </cell>
          <cell r="E13">
            <v>41880</v>
          </cell>
          <cell r="F13">
            <v>209400</v>
          </cell>
        </row>
        <row r="14">
          <cell r="A14">
            <v>4015500</v>
          </cell>
          <cell r="B14" t="str">
            <v>DEMOLICIONES EN EDIFICACIONES</v>
          </cell>
          <cell r="D14">
            <v>0</v>
          </cell>
          <cell r="E14">
            <v>0</v>
          </cell>
          <cell r="F14">
            <v>2550748</v>
          </cell>
        </row>
        <row r="15">
          <cell r="A15">
            <v>4015521</v>
          </cell>
          <cell r="B15" t="str">
            <v>Demolición muro bloque y ladri</v>
          </cell>
          <cell r="C15" t="str">
            <v>m3</v>
          </cell>
          <cell r="D15">
            <v>10</v>
          </cell>
          <cell r="E15">
            <v>49846</v>
          </cell>
          <cell r="F15">
            <v>498460</v>
          </cell>
        </row>
        <row r="16">
          <cell r="A16">
            <v>4015536</v>
          </cell>
          <cell r="B16" t="str">
            <v>Demolición obras en concreto</v>
          </cell>
          <cell r="C16" t="str">
            <v>m3</v>
          </cell>
          <cell r="D16">
            <v>24</v>
          </cell>
          <cell r="E16">
            <v>85512</v>
          </cell>
          <cell r="F16">
            <v>2052288</v>
          </cell>
        </row>
        <row r="17">
          <cell r="A17">
            <v>0</v>
          </cell>
        </row>
        <row r="18">
          <cell r="A18">
            <v>4020000</v>
          </cell>
          <cell r="B18" t="str">
            <v>EXCAVACIONES Y LLENOS ESTRUCT.</v>
          </cell>
          <cell r="D18">
            <v>0</v>
          </cell>
          <cell r="E18">
            <v>0</v>
          </cell>
          <cell r="F18">
            <v>268584624</v>
          </cell>
        </row>
        <row r="19">
          <cell r="A19">
            <v>4021100</v>
          </cell>
          <cell r="B19" t="str">
            <v>EXCAVACIONES MAT. COMÚN SECO</v>
          </cell>
          <cell r="D19">
            <v>0</v>
          </cell>
          <cell r="E19">
            <v>0</v>
          </cell>
          <cell r="F19">
            <v>56438550</v>
          </cell>
        </row>
        <row r="20">
          <cell r="A20">
            <v>4021103</v>
          </cell>
          <cell r="B20" t="str">
            <v>Excavación mat. común seco&lt;2m</v>
          </cell>
          <cell r="C20" t="str">
            <v>m3</v>
          </cell>
          <cell r="D20">
            <v>5985</v>
          </cell>
          <cell r="E20">
            <v>9430</v>
          </cell>
          <cell r="F20">
            <v>56438550</v>
          </cell>
        </row>
        <row r="21">
          <cell r="A21">
            <v>4021300</v>
          </cell>
          <cell r="B21" t="str">
            <v>EXCAVACIONES EN ROCA</v>
          </cell>
          <cell r="D21">
            <v>0</v>
          </cell>
          <cell r="E21">
            <v>0</v>
          </cell>
          <cell r="F21">
            <v>18831890</v>
          </cell>
        </row>
        <row r="22">
          <cell r="A22">
            <v>4021303</v>
          </cell>
          <cell r="B22" t="str">
            <v>Excavación roca a cualq. prof.</v>
          </cell>
          <cell r="C22" t="str">
            <v>m3</v>
          </cell>
          <cell r="D22">
            <v>259</v>
          </cell>
          <cell r="E22">
            <v>72710</v>
          </cell>
          <cell r="F22">
            <v>18831890</v>
          </cell>
        </row>
        <row r="23">
          <cell r="A23">
            <v>4021500</v>
          </cell>
          <cell r="B23" t="str">
            <v>EXCAVACIÓN NICHOS Y OTROS</v>
          </cell>
          <cell r="D23">
            <v>0</v>
          </cell>
          <cell r="E23">
            <v>0</v>
          </cell>
          <cell r="F23">
            <v>39399984</v>
          </cell>
        </row>
        <row r="24">
          <cell r="A24">
            <v>4021503</v>
          </cell>
          <cell r="B24" t="str">
            <v>Excavac.lle y ap.nicho m.s&lt;2m In.bo</v>
          </cell>
          <cell r="C24" t="str">
            <v>m3</v>
          </cell>
          <cell r="D24">
            <v>1619</v>
          </cell>
          <cell r="E24">
            <v>24336</v>
          </cell>
          <cell r="F24">
            <v>39399984</v>
          </cell>
        </row>
        <row r="25">
          <cell r="A25">
            <v>4024100</v>
          </cell>
          <cell r="B25" t="str">
            <v>LLENOS EN ZANJAS Y APIQUES</v>
          </cell>
          <cell r="D25">
            <v>0</v>
          </cell>
          <cell r="E25">
            <v>0</v>
          </cell>
          <cell r="F25">
            <v>53014904</v>
          </cell>
        </row>
        <row r="26">
          <cell r="A26">
            <v>4024103</v>
          </cell>
          <cell r="B26" t="str">
            <v>Lleno ap.z. y apiq.material selecto</v>
          </cell>
          <cell r="C26" t="str">
            <v>m3</v>
          </cell>
          <cell r="D26">
            <v>1663</v>
          </cell>
          <cell r="E26">
            <v>10688</v>
          </cell>
          <cell r="F26">
            <v>17774144</v>
          </cell>
        </row>
        <row r="27">
          <cell r="A27">
            <v>4024112</v>
          </cell>
          <cell r="B27" t="str">
            <v>Lleno ap.z. y apiq. mat. prestamo</v>
          </cell>
          <cell r="C27" t="str">
            <v>m3</v>
          </cell>
          <cell r="D27">
            <v>1590</v>
          </cell>
          <cell r="E27">
            <v>22164</v>
          </cell>
          <cell r="F27">
            <v>35240760</v>
          </cell>
        </row>
        <row r="28">
          <cell r="A28">
            <v>4025000</v>
          </cell>
          <cell r="B28" t="str">
            <v>CARGUE, RETIRO Y BOTADA MAT.S.</v>
          </cell>
          <cell r="D28">
            <v>0</v>
          </cell>
          <cell r="E28">
            <v>0</v>
          </cell>
          <cell r="F28">
            <v>100899296</v>
          </cell>
        </row>
        <row r="29">
          <cell r="A29">
            <v>4025001</v>
          </cell>
          <cell r="B29" t="str">
            <v>Cargue,ret. y bot. m.sobran.</v>
          </cell>
          <cell r="C29" t="str">
            <v>m3</v>
          </cell>
          <cell r="D29">
            <v>4588</v>
          </cell>
          <cell r="E29">
            <v>21992</v>
          </cell>
          <cell r="F29">
            <v>100899296</v>
          </cell>
        </row>
        <row r="30">
          <cell r="A30">
            <v>0</v>
          </cell>
        </row>
        <row r="31">
          <cell r="A31">
            <v>4030000</v>
          </cell>
          <cell r="B31" t="str">
            <v>PAVIMENTOS</v>
          </cell>
          <cell r="D31">
            <v>0</v>
          </cell>
          <cell r="E31">
            <v>0</v>
          </cell>
          <cell r="F31">
            <v>264236671</v>
          </cell>
        </row>
        <row r="32">
          <cell r="A32">
            <v>4030100</v>
          </cell>
          <cell r="B32" t="str">
            <v>CORTE Y RETIRO DE PAVIMENTO</v>
          </cell>
          <cell r="D32">
            <v>0</v>
          </cell>
          <cell r="E32">
            <v>0</v>
          </cell>
          <cell r="F32">
            <v>30564947</v>
          </cell>
        </row>
        <row r="33">
          <cell r="A33">
            <v>4030101</v>
          </cell>
          <cell r="B33" t="str">
            <v>Corte y ret. pav. asf. e&lt; 10cm</v>
          </cell>
          <cell r="C33" t="str">
            <v>m3</v>
          </cell>
          <cell r="D33">
            <v>223</v>
          </cell>
          <cell r="E33">
            <v>57629</v>
          </cell>
          <cell r="F33">
            <v>12851267</v>
          </cell>
        </row>
        <row r="34">
          <cell r="A34">
            <v>4030103</v>
          </cell>
          <cell r="B34" t="str">
            <v>Corte y ret. pav. Cto. e&lt; 20cm</v>
          </cell>
          <cell r="C34" t="str">
            <v>m3</v>
          </cell>
          <cell r="D34">
            <v>240</v>
          </cell>
          <cell r="E34">
            <v>73807</v>
          </cell>
          <cell r="F34">
            <v>17713680</v>
          </cell>
        </row>
        <row r="35">
          <cell r="A35">
            <v>4030300</v>
          </cell>
          <cell r="B35" t="str">
            <v>BASE GRANULAR</v>
          </cell>
          <cell r="D35">
            <v>0</v>
          </cell>
          <cell r="E35">
            <v>0</v>
          </cell>
          <cell r="F35">
            <v>79287264</v>
          </cell>
        </row>
        <row r="36">
          <cell r="A36">
            <v>4030301</v>
          </cell>
          <cell r="B36" t="str">
            <v>STC y comp. base granular</v>
          </cell>
          <cell r="C36" t="str">
            <v>m3</v>
          </cell>
          <cell r="D36">
            <v>1407</v>
          </cell>
          <cell r="E36">
            <v>56352</v>
          </cell>
          <cell r="F36">
            <v>79287264</v>
          </cell>
        </row>
        <row r="37">
          <cell r="A37">
            <v>4030700</v>
          </cell>
          <cell r="B37" t="str">
            <v>CONCRETO ASFÁLTICO</v>
          </cell>
          <cell r="D37">
            <v>0</v>
          </cell>
          <cell r="E37">
            <v>0</v>
          </cell>
          <cell r="F37">
            <v>81025340</v>
          </cell>
        </row>
        <row r="38">
          <cell r="A38">
            <v>4030706</v>
          </cell>
          <cell r="B38" t="str">
            <v>STC C.pav.asf.z.y ap-proyectos</v>
          </cell>
          <cell r="C38" t="str">
            <v>m3</v>
          </cell>
          <cell r="D38">
            <v>212</v>
          </cell>
          <cell r="E38">
            <v>382195</v>
          </cell>
          <cell r="F38">
            <v>81025340</v>
          </cell>
        </row>
        <row r="39">
          <cell r="A39">
            <v>4030800</v>
          </cell>
          <cell r="B39" t="str">
            <v>PAVIMENTOS RÍGIDOS</v>
          </cell>
          <cell r="D39">
            <v>0</v>
          </cell>
          <cell r="E39">
            <v>0</v>
          </cell>
          <cell r="F39">
            <v>73359120</v>
          </cell>
        </row>
        <row r="40">
          <cell r="A40">
            <v>4030801</v>
          </cell>
          <cell r="B40" t="str">
            <v>Reconst.pav.Cto.28 Mpa-e=0.20</v>
          </cell>
          <cell r="C40" t="str">
            <v>m3</v>
          </cell>
          <cell r="D40">
            <v>240</v>
          </cell>
          <cell r="E40">
            <v>305663</v>
          </cell>
          <cell r="F40">
            <v>73359120</v>
          </cell>
        </row>
        <row r="41">
          <cell r="A41">
            <v>0</v>
          </cell>
        </row>
        <row r="42">
          <cell r="A42">
            <v>4040000</v>
          </cell>
          <cell r="B42" t="str">
            <v>OBRAS VARIAS</v>
          </cell>
          <cell r="D42">
            <v>0</v>
          </cell>
          <cell r="E42">
            <v>0</v>
          </cell>
          <cell r="F42">
            <v>645067350</v>
          </cell>
        </row>
        <row r="43">
          <cell r="A43">
            <v>4040100</v>
          </cell>
          <cell r="B43" t="str">
            <v>CUNETAS</v>
          </cell>
          <cell r="D43">
            <v>0</v>
          </cell>
          <cell r="E43">
            <v>0</v>
          </cell>
          <cell r="F43">
            <v>749528</v>
          </cell>
        </row>
        <row r="44">
          <cell r="A44">
            <v>4040130</v>
          </cell>
          <cell r="B44" t="str">
            <v>Reconst. cunetas Cto.-Esq. 10</v>
          </cell>
          <cell r="C44" t="str">
            <v>m</v>
          </cell>
          <cell r="D44">
            <v>26</v>
          </cell>
          <cell r="E44">
            <v>28828</v>
          </cell>
          <cell r="F44">
            <v>749528</v>
          </cell>
        </row>
        <row r="45">
          <cell r="A45">
            <v>4040300</v>
          </cell>
          <cell r="B45" t="str">
            <v>ANDENES</v>
          </cell>
          <cell r="D45">
            <v>0</v>
          </cell>
          <cell r="E45">
            <v>0</v>
          </cell>
          <cell r="F45">
            <v>556310268</v>
          </cell>
        </row>
        <row r="46">
          <cell r="A46">
            <v>4040301</v>
          </cell>
          <cell r="B46" t="str">
            <v>Rec. anden Cto. con escalas</v>
          </cell>
          <cell r="C46" t="str">
            <v>m2</v>
          </cell>
          <cell r="D46">
            <v>12793</v>
          </cell>
          <cell r="E46">
            <v>42366</v>
          </cell>
          <cell r="F46">
            <v>541988238</v>
          </cell>
        </row>
        <row r="47">
          <cell r="A47">
            <v>4040310</v>
          </cell>
          <cell r="B47" t="str">
            <v>Rec. anden granito con escalas</v>
          </cell>
          <cell r="C47" t="str">
            <v>m2</v>
          </cell>
          <cell r="D47">
            <v>50</v>
          </cell>
          <cell r="E47">
            <v>49870</v>
          </cell>
          <cell r="F47">
            <v>2493500</v>
          </cell>
        </row>
        <row r="48">
          <cell r="A48">
            <v>4040323</v>
          </cell>
          <cell r="B48" t="str">
            <v>Rec.anden vitrific.sin escalas</v>
          </cell>
          <cell r="C48" t="str">
            <v>m2</v>
          </cell>
          <cell r="D48">
            <v>100</v>
          </cell>
          <cell r="E48">
            <v>53848</v>
          </cell>
          <cell r="F48">
            <v>5384800</v>
          </cell>
        </row>
        <row r="49">
          <cell r="A49">
            <v>4040333</v>
          </cell>
          <cell r="B49" t="str">
            <v>Rec. anden arenón sin escalas</v>
          </cell>
          <cell r="C49" t="str">
            <v>m2</v>
          </cell>
          <cell r="D49">
            <v>100</v>
          </cell>
          <cell r="E49">
            <v>59010</v>
          </cell>
          <cell r="F49">
            <v>5901000</v>
          </cell>
        </row>
        <row r="50">
          <cell r="A50">
            <v>4040345</v>
          </cell>
          <cell r="B50" t="str">
            <v>Rec. anden adoquin-colocación</v>
          </cell>
          <cell r="C50" t="str">
            <v>m2</v>
          </cell>
          <cell r="D50">
            <v>30</v>
          </cell>
          <cell r="E50">
            <v>18091</v>
          </cell>
          <cell r="F50">
            <v>542730</v>
          </cell>
        </row>
        <row r="51">
          <cell r="A51">
            <v>4040600</v>
          </cell>
          <cell r="B51" t="str">
            <v>ENGRAMADOS</v>
          </cell>
          <cell r="D51">
            <v>0</v>
          </cell>
          <cell r="E51">
            <v>0</v>
          </cell>
          <cell r="F51">
            <v>5760937</v>
          </cell>
        </row>
        <row r="52">
          <cell r="A52">
            <v>4040601</v>
          </cell>
          <cell r="B52" t="str">
            <v>Engramado con reut.grama exist</v>
          </cell>
          <cell r="C52" t="str">
            <v>m2</v>
          </cell>
          <cell r="D52">
            <v>413</v>
          </cell>
          <cell r="E52">
            <v>5243</v>
          </cell>
          <cell r="F52">
            <v>2165359</v>
          </cell>
        </row>
        <row r="53">
          <cell r="A53">
            <v>4040603</v>
          </cell>
          <cell r="B53" t="str">
            <v>Engramado-STC grama t.macana</v>
          </cell>
          <cell r="C53" t="str">
            <v>m2</v>
          </cell>
          <cell r="D53">
            <v>413</v>
          </cell>
          <cell r="E53">
            <v>8706</v>
          </cell>
          <cell r="F53">
            <v>3595578</v>
          </cell>
        </row>
        <row r="54">
          <cell r="A54">
            <v>4041100</v>
          </cell>
          <cell r="B54" t="str">
            <v>CORTES CON ACETILENO</v>
          </cell>
          <cell r="D54">
            <v>0</v>
          </cell>
          <cell r="E54">
            <v>0</v>
          </cell>
          <cell r="F54">
            <v>19360302</v>
          </cell>
        </row>
        <row r="55">
          <cell r="A55">
            <v>4041101</v>
          </cell>
          <cell r="B55" t="str">
            <v>Cortes tub.acero-incl.biselada</v>
          </cell>
          <cell r="C55" t="str">
            <v>cm</v>
          </cell>
          <cell r="D55">
            <v>24414</v>
          </cell>
          <cell r="E55">
            <v>793</v>
          </cell>
          <cell r="F55">
            <v>19360302</v>
          </cell>
        </row>
        <row r="56">
          <cell r="A56">
            <v>4041200</v>
          </cell>
          <cell r="B56" t="str">
            <v>CORTES SIN ACETILENO</v>
          </cell>
          <cell r="D56">
            <v>0</v>
          </cell>
          <cell r="E56">
            <v>0</v>
          </cell>
          <cell r="F56">
            <v>7018050</v>
          </cell>
        </row>
        <row r="57">
          <cell r="A57">
            <v>4041201</v>
          </cell>
          <cell r="B57" t="str">
            <v>Corte sin acetileno con pulidora</v>
          </cell>
          <cell r="C57" t="str">
            <v>cm</v>
          </cell>
          <cell r="D57">
            <v>8850</v>
          </cell>
          <cell r="E57">
            <v>793</v>
          </cell>
          <cell r="F57">
            <v>7018050</v>
          </cell>
        </row>
        <row r="58">
          <cell r="A58">
            <v>4041300</v>
          </cell>
          <cell r="B58" t="str">
            <v>SOLDADURA</v>
          </cell>
          <cell r="D58">
            <v>0</v>
          </cell>
          <cell r="E58">
            <v>0</v>
          </cell>
          <cell r="F58">
            <v>24738480</v>
          </cell>
        </row>
        <row r="59">
          <cell r="A59">
            <v>4041301</v>
          </cell>
          <cell r="B59" t="str">
            <v>STC Cordon soldadura compl.</v>
          </cell>
          <cell r="C59" t="str">
            <v>cm</v>
          </cell>
          <cell r="D59">
            <v>21144</v>
          </cell>
          <cell r="E59">
            <v>1170</v>
          </cell>
          <cell r="F59">
            <v>24738480</v>
          </cell>
        </row>
        <row r="60">
          <cell r="A60">
            <v>4042100</v>
          </cell>
          <cell r="B60" t="str">
            <v>OTRAS OBRAS VARIAS</v>
          </cell>
          <cell r="D60">
            <v>0</v>
          </cell>
          <cell r="E60">
            <v>0</v>
          </cell>
          <cell r="F60">
            <v>28988769</v>
          </cell>
        </row>
        <row r="61">
          <cell r="A61">
            <v>4042117</v>
          </cell>
          <cell r="B61" t="str">
            <v>STC cinta poliet-re.red 10cm</v>
          </cell>
          <cell r="C61" t="str">
            <v>m</v>
          </cell>
          <cell r="D61">
            <v>10143</v>
          </cell>
          <cell r="E61">
            <v>1419</v>
          </cell>
          <cell r="F61">
            <v>14392917</v>
          </cell>
        </row>
        <row r="62">
          <cell r="A62">
            <v>4042130</v>
          </cell>
          <cell r="B62" t="str">
            <v>Alquiler retroexcav. hr.diurna</v>
          </cell>
          <cell r="C62" t="str">
            <v>h</v>
          </cell>
          <cell r="D62">
            <v>24</v>
          </cell>
          <cell r="E62">
            <v>70668</v>
          </cell>
          <cell r="F62">
            <v>1696032</v>
          </cell>
        </row>
        <row r="63">
          <cell r="A63">
            <v>4042132</v>
          </cell>
          <cell r="B63" t="str">
            <v>Alquiler retroexcav. hr.noctur</v>
          </cell>
          <cell r="C63" t="str">
            <v>h</v>
          </cell>
          <cell r="D63">
            <v>12</v>
          </cell>
          <cell r="E63">
            <v>81068</v>
          </cell>
          <cell r="F63">
            <v>972816</v>
          </cell>
        </row>
        <row r="64">
          <cell r="A64">
            <v>4042136</v>
          </cell>
          <cell r="B64" t="str">
            <v>Alquiler volqueta 6m3 hr.diurn</v>
          </cell>
          <cell r="C64" t="str">
            <v>h</v>
          </cell>
          <cell r="D64">
            <v>24</v>
          </cell>
          <cell r="E64">
            <v>38042</v>
          </cell>
          <cell r="F64">
            <v>913008</v>
          </cell>
        </row>
        <row r="65">
          <cell r="A65">
            <v>4042137</v>
          </cell>
          <cell r="B65" t="str">
            <v>Alquiler volqueta 6m3 hr.noctu</v>
          </cell>
          <cell r="C65" t="str">
            <v>h</v>
          </cell>
          <cell r="D65">
            <v>12</v>
          </cell>
          <cell r="E65">
            <v>47553</v>
          </cell>
          <cell r="F65">
            <v>570636</v>
          </cell>
        </row>
        <row r="66">
          <cell r="A66">
            <v>4042150</v>
          </cell>
          <cell r="B66" t="str">
            <v>Ayudante incluye prestaciones</v>
          </cell>
          <cell r="C66" t="str">
            <v>h</v>
          </cell>
          <cell r="D66">
            <v>960</v>
          </cell>
          <cell r="E66">
            <v>5372</v>
          </cell>
          <cell r="F66">
            <v>5157120</v>
          </cell>
        </row>
        <row r="67">
          <cell r="A67">
            <v>4042152</v>
          </cell>
          <cell r="B67" t="str">
            <v>Oficial incluye prestaciones</v>
          </cell>
          <cell r="C67" t="str">
            <v>h</v>
          </cell>
          <cell r="D67">
            <v>480</v>
          </cell>
          <cell r="E67">
            <v>11013</v>
          </cell>
          <cell r="F67">
            <v>5286240</v>
          </cell>
        </row>
        <row r="68">
          <cell r="A68">
            <v>4042200</v>
          </cell>
          <cell r="B68" t="str">
            <v>OTRAS OBRAS VARIAS-CONTINUACIÓN</v>
          </cell>
          <cell r="D68">
            <v>0</v>
          </cell>
          <cell r="E68">
            <v>0</v>
          </cell>
          <cell r="F68">
            <v>2141016</v>
          </cell>
        </row>
        <row r="69">
          <cell r="A69">
            <v>4042201</v>
          </cell>
          <cell r="B69" t="str">
            <v>Compresor 125 P3/min-in.mart.d</v>
          </cell>
          <cell r="C69" t="str">
            <v>h</v>
          </cell>
          <cell r="D69">
            <v>24</v>
          </cell>
          <cell r="E69">
            <v>53259</v>
          </cell>
          <cell r="F69">
            <v>1278216</v>
          </cell>
        </row>
        <row r="70">
          <cell r="A70">
            <v>4042203</v>
          </cell>
          <cell r="B70" t="str">
            <v>Compresor 125 P3/min-in.mart.n</v>
          </cell>
          <cell r="C70" t="str">
            <v>h</v>
          </cell>
          <cell r="D70">
            <v>12</v>
          </cell>
          <cell r="E70">
            <v>71900</v>
          </cell>
          <cell r="F70">
            <v>862800</v>
          </cell>
        </row>
        <row r="71">
          <cell r="A71">
            <v>0</v>
          </cell>
        </row>
        <row r="72">
          <cell r="A72">
            <v>4050000</v>
          </cell>
          <cell r="B72" t="str">
            <v>FABRICACIÓN Y UTILIZACIÓN CTO.</v>
          </cell>
          <cell r="D72">
            <v>0</v>
          </cell>
          <cell r="E72">
            <v>0</v>
          </cell>
          <cell r="F72">
            <v>3510676</v>
          </cell>
        </row>
        <row r="73">
          <cell r="A73">
            <v>4051100</v>
          </cell>
          <cell r="B73" t="str">
            <v>CONCRETOS DE 21 MPa</v>
          </cell>
          <cell r="D73">
            <v>0</v>
          </cell>
          <cell r="E73">
            <v>0</v>
          </cell>
          <cell r="F73">
            <v>3510676</v>
          </cell>
        </row>
        <row r="74">
          <cell r="A74">
            <v>4051101</v>
          </cell>
          <cell r="B74" t="str">
            <v>STC Cto.21MPa em.tuxve-an-ap</v>
          </cell>
          <cell r="C74" t="str">
            <v>m3</v>
          </cell>
          <cell r="D74">
            <v>13</v>
          </cell>
          <cell r="E74">
            <v>270052</v>
          </cell>
          <cell r="F74">
            <v>3510676</v>
          </cell>
        </row>
        <row r="75">
          <cell r="A75">
            <v>0</v>
          </cell>
        </row>
        <row r="76">
          <cell r="A76">
            <v>4060000</v>
          </cell>
          <cell r="B76" t="str">
            <v>ACERO DE REFUERZO</v>
          </cell>
          <cell r="D76">
            <v>0</v>
          </cell>
          <cell r="E76">
            <v>0</v>
          </cell>
          <cell r="F76">
            <v>555420</v>
          </cell>
        </row>
        <row r="77">
          <cell r="A77">
            <v>4060100</v>
          </cell>
          <cell r="B77" t="str">
            <v>BARRAS DE ACERO DE REFUERZO</v>
          </cell>
          <cell r="D77">
            <v>0</v>
          </cell>
          <cell r="E77">
            <v>0</v>
          </cell>
          <cell r="F77">
            <v>555420</v>
          </cell>
        </row>
        <row r="78">
          <cell r="A78">
            <v>4060120</v>
          </cell>
          <cell r="B78" t="str">
            <v>S.T.F.C.acero refuerzo 420 MPa 1/2"</v>
          </cell>
          <cell r="C78" t="str">
            <v>kg</v>
          </cell>
          <cell r="D78">
            <v>60</v>
          </cell>
          <cell r="E78">
            <v>3710</v>
          </cell>
          <cell r="F78">
            <v>222600</v>
          </cell>
        </row>
        <row r="79">
          <cell r="A79">
            <v>4060122</v>
          </cell>
          <cell r="B79" t="str">
            <v>S.T.F.C.acero refuerzo 420 MPa 3/8"</v>
          </cell>
          <cell r="C79" t="str">
            <v>kg</v>
          </cell>
          <cell r="D79">
            <v>60</v>
          </cell>
          <cell r="E79">
            <v>5547</v>
          </cell>
          <cell r="F79">
            <v>332820</v>
          </cell>
        </row>
        <row r="80">
          <cell r="A80">
            <v>0</v>
          </cell>
        </row>
        <row r="81">
          <cell r="A81">
            <v>4070000</v>
          </cell>
          <cell r="B81" t="str">
            <v>REDES DISTRIB.ACOM.YCOND.ACDTO</v>
          </cell>
          <cell r="D81">
            <v>0</v>
          </cell>
          <cell r="E81">
            <v>0</v>
          </cell>
          <cell r="F81">
            <v>638555084</v>
          </cell>
        </row>
        <row r="82">
          <cell r="A82">
            <v>4071000</v>
          </cell>
          <cell r="B82" t="str">
            <v>TUBERÍAS DE ACERO</v>
          </cell>
          <cell r="D82">
            <v>0</v>
          </cell>
          <cell r="E82">
            <v>0</v>
          </cell>
          <cell r="F82">
            <v>18457907</v>
          </cell>
        </row>
        <row r="83">
          <cell r="A83">
            <v>4071004</v>
          </cell>
          <cell r="B83" t="str">
            <v>STC Tuberia acero 2"</v>
          </cell>
          <cell r="C83" t="str">
            <v>m</v>
          </cell>
          <cell r="D83">
            <v>10</v>
          </cell>
          <cell r="E83">
            <v>34151</v>
          </cell>
          <cell r="F83">
            <v>341510</v>
          </cell>
        </row>
        <row r="84">
          <cell r="A84">
            <v>4071008</v>
          </cell>
          <cell r="B84" t="str">
            <v>STC Tuberia acero 3"</v>
          </cell>
          <cell r="C84" t="str">
            <v>m</v>
          </cell>
          <cell r="D84">
            <v>113</v>
          </cell>
          <cell r="E84">
            <v>75385</v>
          </cell>
          <cell r="F84">
            <v>8518505</v>
          </cell>
        </row>
        <row r="85">
          <cell r="A85">
            <v>4071010</v>
          </cell>
          <cell r="B85" t="str">
            <v>STC Tuberia acero 4"</v>
          </cell>
          <cell r="C85" t="str">
            <v>m</v>
          </cell>
          <cell r="D85">
            <v>13</v>
          </cell>
          <cell r="E85">
            <v>106533</v>
          </cell>
          <cell r="F85">
            <v>1384929</v>
          </cell>
        </row>
        <row r="86">
          <cell r="A86">
            <v>4071014</v>
          </cell>
          <cell r="B86" t="str">
            <v>STC Tuberia acero 6"</v>
          </cell>
          <cell r="C86" t="str">
            <v>m</v>
          </cell>
          <cell r="D86">
            <v>2</v>
          </cell>
          <cell r="E86">
            <v>184010</v>
          </cell>
          <cell r="F86">
            <v>368020</v>
          </cell>
        </row>
        <row r="87">
          <cell r="A87">
            <v>4071016</v>
          </cell>
          <cell r="B87" t="str">
            <v>STC Tuberia acero 8"</v>
          </cell>
          <cell r="C87" t="str">
            <v>m</v>
          </cell>
          <cell r="D87">
            <v>1</v>
          </cell>
          <cell r="E87">
            <v>274790</v>
          </cell>
          <cell r="F87">
            <v>274790</v>
          </cell>
        </row>
        <row r="88">
          <cell r="A88">
            <v>4071018</v>
          </cell>
          <cell r="B88" t="str">
            <v>STC Tuberia acero 10"</v>
          </cell>
          <cell r="C88" t="str">
            <v>m</v>
          </cell>
          <cell r="D88">
            <v>7</v>
          </cell>
          <cell r="E88">
            <v>387661</v>
          </cell>
          <cell r="F88">
            <v>2713627</v>
          </cell>
        </row>
        <row r="89">
          <cell r="A89">
            <v>4071068</v>
          </cell>
          <cell r="B89" t="str">
            <v>STC Tub. galvanix. pesada 11/2"</v>
          </cell>
          <cell r="C89" t="str">
            <v>m</v>
          </cell>
          <cell r="D89">
            <v>306</v>
          </cell>
          <cell r="E89">
            <v>15871</v>
          </cell>
          <cell r="F89">
            <v>4856526</v>
          </cell>
        </row>
        <row r="90">
          <cell r="A90">
            <v>4071500</v>
          </cell>
          <cell r="B90" t="str">
            <v>TEES Y TAPONES EN ACERO</v>
          </cell>
          <cell r="D90">
            <v>0</v>
          </cell>
          <cell r="E90">
            <v>0</v>
          </cell>
          <cell r="F90">
            <v>21455799</v>
          </cell>
        </row>
        <row r="91">
          <cell r="A91">
            <v>4071531</v>
          </cell>
          <cell r="B91" t="str">
            <v>STC Tee partida R.D 6"x3"</v>
          </cell>
          <cell r="C91" t="str">
            <v>un</v>
          </cell>
          <cell r="D91">
            <v>7</v>
          </cell>
          <cell r="E91">
            <v>2634924</v>
          </cell>
          <cell r="F91">
            <v>18444468</v>
          </cell>
        </row>
        <row r="92">
          <cell r="A92">
            <v>4071541</v>
          </cell>
          <cell r="B92" t="str">
            <v>STC Tee partida R.B 8"x6"</v>
          </cell>
          <cell r="C92" t="str">
            <v>un</v>
          </cell>
          <cell r="D92">
            <v>1</v>
          </cell>
          <cell r="E92">
            <v>3011331</v>
          </cell>
          <cell r="F92">
            <v>3011331</v>
          </cell>
        </row>
        <row r="93">
          <cell r="A93">
            <v>4072000</v>
          </cell>
          <cell r="B93" t="str">
            <v>TUBERÍAS Y ACCESORIOS DE H.D.</v>
          </cell>
          <cell r="D93">
            <v>0</v>
          </cell>
          <cell r="E93">
            <v>0</v>
          </cell>
          <cell r="F93">
            <v>18722245</v>
          </cell>
        </row>
        <row r="94">
          <cell r="A94">
            <v>4072006</v>
          </cell>
          <cell r="B94" t="str">
            <v>STC Tuberia H.D. 6"</v>
          </cell>
          <cell r="C94" t="str">
            <v>m</v>
          </cell>
          <cell r="D94">
            <v>1396</v>
          </cell>
          <cell r="E94">
            <v>13335</v>
          </cell>
          <cell r="F94">
            <v>18615660</v>
          </cell>
        </row>
        <row r="95">
          <cell r="A95">
            <v>4072008</v>
          </cell>
          <cell r="B95" t="str">
            <v>STC Tuberia H.D. 8"</v>
          </cell>
          <cell r="C95" t="str">
            <v>m</v>
          </cell>
          <cell r="D95">
            <v>5</v>
          </cell>
          <cell r="E95">
            <v>21317</v>
          </cell>
          <cell r="F95">
            <v>106585</v>
          </cell>
        </row>
        <row r="96">
          <cell r="A96">
            <v>4072100</v>
          </cell>
          <cell r="B96" t="str">
            <v>CODOS EN H.D.</v>
          </cell>
          <cell r="D96">
            <v>0</v>
          </cell>
          <cell r="E96">
            <v>0</v>
          </cell>
          <cell r="F96">
            <v>9597735</v>
          </cell>
        </row>
        <row r="97">
          <cell r="A97">
            <v>4072152</v>
          </cell>
          <cell r="B97" t="str">
            <v>STC codo H.D-J.R. PVC 45° 6"</v>
          </cell>
          <cell r="C97" t="str">
            <v>un</v>
          </cell>
          <cell r="D97">
            <v>28</v>
          </cell>
          <cell r="E97">
            <v>238066</v>
          </cell>
          <cell r="F97">
            <v>6665848</v>
          </cell>
        </row>
        <row r="98">
          <cell r="A98">
            <v>4072174</v>
          </cell>
          <cell r="B98" t="str">
            <v>STC codo H.D-J.R. PVC 22.5° 6"</v>
          </cell>
          <cell r="C98" t="str">
            <v>un</v>
          </cell>
          <cell r="D98">
            <v>7</v>
          </cell>
          <cell r="E98">
            <v>216762</v>
          </cell>
          <cell r="F98">
            <v>1517334</v>
          </cell>
        </row>
        <row r="99">
          <cell r="A99">
            <v>4072192</v>
          </cell>
          <cell r="B99" t="str">
            <v>STC codo H.D-J.R.PVC 11.25° 6"</v>
          </cell>
          <cell r="C99" t="str">
            <v>un</v>
          </cell>
          <cell r="D99">
            <v>7</v>
          </cell>
          <cell r="E99">
            <v>202079</v>
          </cell>
          <cell r="F99">
            <v>1414553</v>
          </cell>
        </row>
        <row r="100">
          <cell r="A100">
            <v>4072300</v>
          </cell>
          <cell r="B100" t="str">
            <v>REDUCCIONES Y TEES EN H.D.</v>
          </cell>
          <cell r="D100">
            <v>0</v>
          </cell>
          <cell r="E100">
            <v>0</v>
          </cell>
          <cell r="F100">
            <v>16054785</v>
          </cell>
        </row>
        <row r="101">
          <cell r="A101">
            <v>4072302</v>
          </cell>
          <cell r="B101" t="str">
            <v>STC Reduccion H.D-E.L. PVC 3"x2"</v>
          </cell>
          <cell r="C101" t="str">
            <v>un</v>
          </cell>
          <cell r="D101">
            <v>18</v>
          </cell>
          <cell r="E101">
            <v>52691</v>
          </cell>
          <cell r="F101">
            <v>948438</v>
          </cell>
        </row>
        <row r="102">
          <cell r="A102">
            <v>4072304</v>
          </cell>
          <cell r="B102" t="str">
            <v>STC Reduccion H.D-E.L. PVC 4"x2"</v>
          </cell>
          <cell r="C102" t="str">
            <v>un</v>
          </cell>
          <cell r="D102">
            <v>4</v>
          </cell>
          <cell r="E102">
            <v>64822</v>
          </cell>
          <cell r="F102">
            <v>259288</v>
          </cell>
        </row>
        <row r="103">
          <cell r="A103">
            <v>4072306</v>
          </cell>
          <cell r="B103" t="str">
            <v>STC Reduccion H.D-E.L. PVC 4"x3"</v>
          </cell>
          <cell r="C103" t="str">
            <v>un</v>
          </cell>
          <cell r="D103">
            <v>4</v>
          </cell>
          <cell r="E103">
            <v>80039</v>
          </cell>
          <cell r="F103">
            <v>320156</v>
          </cell>
        </row>
        <row r="104">
          <cell r="A104">
            <v>4072354</v>
          </cell>
          <cell r="B104" t="str">
            <v>STC Tee H.D-E.L. PVC 3"x3"</v>
          </cell>
          <cell r="C104" t="str">
            <v>un</v>
          </cell>
          <cell r="D104">
            <v>46</v>
          </cell>
          <cell r="E104">
            <v>98341</v>
          </cell>
          <cell r="F104">
            <v>4523686</v>
          </cell>
        </row>
        <row r="105">
          <cell r="A105">
            <v>4072358</v>
          </cell>
          <cell r="B105" t="str">
            <v>STC Tee H.D-E.L. PVC 4"x3"</v>
          </cell>
          <cell r="C105" t="str">
            <v>un</v>
          </cell>
          <cell r="D105">
            <v>23</v>
          </cell>
          <cell r="E105">
            <v>125690</v>
          </cell>
          <cell r="F105">
            <v>2890870</v>
          </cell>
        </row>
        <row r="106">
          <cell r="A106">
            <v>4072360</v>
          </cell>
          <cell r="B106" t="str">
            <v>STC Tee H.D-E.L. PVC 4"x4"</v>
          </cell>
          <cell r="C106" t="str">
            <v>un</v>
          </cell>
          <cell r="D106">
            <v>25</v>
          </cell>
          <cell r="E106">
            <v>145472</v>
          </cell>
          <cell r="F106">
            <v>3636800</v>
          </cell>
        </row>
        <row r="107">
          <cell r="A107">
            <v>4072384</v>
          </cell>
          <cell r="B107" t="str">
            <v>STC Tee H.D-E.L. AC 6"x3"</v>
          </cell>
          <cell r="C107" t="str">
            <v>un</v>
          </cell>
          <cell r="D107">
            <v>6</v>
          </cell>
          <cell r="E107">
            <v>227201</v>
          </cell>
          <cell r="F107">
            <v>1363206</v>
          </cell>
        </row>
        <row r="108">
          <cell r="A108">
            <v>4072388</v>
          </cell>
          <cell r="B108" t="str">
            <v>STC Tee H.D-E.L. AC 6"x6"</v>
          </cell>
          <cell r="C108" t="str">
            <v>un</v>
          </cell>
          <cell r="D108">
            <v>7</v>
          </cell>
          <cell r="E108">
            <v>301763</v>
          </cell>
          <cell r="F108">
            <v>2112341</v>
          </cell>
        </row>
        <row r="109">
          <cell r="A109">
            <v>4072400</v>
          </cell>
          <cell r="B109" t="str">
            <v>TEES Y TAPONES EN H.D.</v>
          </cell>
          <cell r="D109">
            <v>0</v>
          </cell>
          <cell r="E109">
            <v>0</v>
          </cell>
          <cell r="F109">
            <v>1231287</v>
          </cell>
        </row>
        <row r="110">
          <cell r="A110">
            <v>4072450</v>
          </cell>
          <cell r="B110" t="str">
            <v>STC Tapon H.D-PVC 2"</v>
          </cell>
          <cell r="C110" t="str">
            <v>un</v>
          </cell>
          <cell r="D110">
            <v>1</v>
          </cell>
          <cell r="E110">
            <v>31806</v>
          </cell>
          <cell r="F110">
            <v>31806</v>
          </cell>
        </row>
        <row r="111">
          <cell r="A111">
            <v>4072452</v>
          </cell>
          <cell r="B111" t="str">
            <v>STC Tapon H.D-PVC 3"</v>
          </cell>
          <cell r="C111" t="str">
            <v>un</v>
          </cell>
          <cell r="D111">
            <v>25</v>
          </cell>
          <cell r="E111">
            <v>45082</v>
          </cell>
          <cell r="F111">
            <v>1127050</v>
          </cell>
        </row>
        <row r="112">
          <cell r="A112">
            <v>4072454</v>
          </cell>
          <cell r="B112" t="str">
            <v>STC Tapon H.D-PVC 4"</v>
          </cell>
          <cell r="C112" t="str">
            <v>un</v>
          </cell>
          <cell r="D112">
            <v>1</v>
          </cell>
          <cell r="E112">
            <v>72431</v>
          </cell>
          <cell r="F112">
            <v>72431</v>
          </cell>
        </row>
        <row r="113">
          <cell r="A113">
            <v>4073000</v>
          </cell>
          <cell r="B113" t="str">
            <v>TUBERÍAS DE PVC</v>
          </cell>
          <cell r="D113">
            <v>0</v>
          </cell>
          <cell r="E113">
            <v>0</v>
          </cell>
          <cell r="F113">
            <v>93360571</v>
          </cell>
        </row>
        <row r="114">
          <cell r="A114">
            <v>4073010</v>
          </cell>
          <cell r="B114" t="str">
            <v>STC Tub. PVC-P E.L. 3" RDE 13.5</v>
          </cell>
          <cell r="C114" t="str">
            <v>m</v>
          </cell>
          <cell r="D114">
            <v>6293</v>
          </cell>
          <cell r="E114">
            <v>9497</v>
          </cell>
          <cell r="F114">
            <v>59764621</v>
          </cell>
        </row>
        <row r="115">
          <cell r="A115">
            <v>4073012</v>
          </cell>
          <cell r="B115" t="str">
            <v>STC Tub. PVC-P E.L. 4" RDE 13.5</v>
          </cell>
          <cell r="C115" t="str">
            <v>m</v>
          </cell>
          <cell r="D115">
            <v>2309</v>
          </cell>
          <cell r="E115">
            <v>14550</v>
          </cell>
          <cell r="F115">
            <v>33595950</v>
          </cell>
        </row>
        <row r="116">
          <cell r="A116">
            <v>4073400</v>
          </cell>
          <cell r="B116" t="str">
            <v>CODOS EN PVC-P</v>
          </cell>
          <cell r="D116">
            <v>0</v>
          </cell>
          <cell r="E116">
            <v>0</v>
          </cell>
          <cell r="F116">
            <v>47997977</v>
          </cell>
        </row>
        <row r="117">
          <cell r="A117">
            <v>4073444</v>
          </cell>
          <cell r="B117" t="str">
            <v>STC Codo G.R. PVC-P 90° RDE 21 3"</v>
          </cell>
          <cell r="C117" t="str">
            <v>un</v>
          </cell>
          <cell r="D117">
            <v>3</v>
          </cell>
          <cell r="E117">
            <v>87277</v>
          </cell>
          <cell r="F117">
            <v>261831</v>
          </cell>
        </row>
        <row r="118">
          <cell r="A118">
            <v>4073446</v>
          </cell>
          <cell r="B118" t="str">
            <v>STC Codo G.R. PVC-P 90° RDE 21 4"</v>
          </cell>
          <cell r="C118" t="str">
            <v>un</v>
          </cell>
          <cell r="D118">
            <v>4</v>
          </cell>
          <cell r="E118">
            <v>161547</v>
          </cell>
          <cell r="F118">
            <v>646188</v>
          </cell>
        </row>
        <row r="119">
          <cell r="A119">
            <v>4073462</v>
          </cell>
          <cell r="B119" t="str">
            <v>STC Codo G.R. PVC-P 45° RDE 21 3"</v>
          </cell>
          <cell r="C119" t="str">
            <v>un</v>
          </cell>
          <cell r="D119">
            <v>426</v>
          </cell>
          <cell r="E119">
            <v>61480</v>
          </cell>
          <cell r="F119">
            <v>26190480</v>
          </cell>
        </row>
        <row r="120">
          <cell r="A120">
            <v>4073464</v>
          </cell>
          <cell r="B120" t="str">
            <v>STC Codo G.R. PVC-P 45° RDE 21 4"</v>
          </cell>
          <cell r="C120" t="str">
            <v>un</v>
          </cell>
          <cell r="D120">
            <v>100</v>
          </cell>
          <cell r="E120">
            <v>116953</v>
          </cell>
          <cell r="F120">
            <v>11695300</v>
          </cell>
        </row>
        <row r="121">
          <cell r="A121">
            <v>4073478</v>
          </cell>
          <cell r="B121" t="str">
            <v>STC Codo G.R. PVC-P22.5° RDE21 3"</v>
          </cell>
          <cell r="C121" t="str">
            <v>un</v>
          </cell>
          <cell r="D121">
            <v>56</v>
          </cell>
          <cell r="E121">
            <v>60625</v>
          </cell>
          <cell r="F121">
            <v>3395000</v>
          </cell>
        </row>
        <row r="122">
          <cell r="A122">
            <v>4073480</v>
          </cell>
          <cell r="B122" t="str">
            <v>STC Codo G.R. PVC-P22.5° RDE21 4"</v>
          </cell>
          <cell r="C122" t="str">
            <v>un</v>
          </cell>
          <cell r="D122">
            <v>14</v>
          </cell>
          <cell r="E122">
            <v>106132</v>
          </cell>
          <cell r="F122">
            <v>1485848</v>
          </cell>
        </row>
        <row r="123">
          <cell r="A123">
            <v>4073494</v>
          </cell>
          <cell r="B123" t="str">
            <v>STC Codo G.R.PVC-P11.25° RDE21 3"</v>
          </cell>
          <cell r="C123" t="str">
            <v>un</v>
          </cell>
          <cell r="D123">
            <v>50</v>
          </cell>
          <cell r="E123">
            <v>56049</v>
          </cell>
          <cell r="F123">
            <v>2802450</v>
          </cell>
        </row>
        <row r="124">
          <cell r="A124">
            <v>4073496</v>
          </cell>
          <cell r="B124" t="str">
            <v>STC Codo G.R.PVC-P11.25° RDE21 4"</v>
          </cell>
          <cell r="C124" t="str">
            <v>un</v>
          </cell>
          <cell r="D124">
            <v>15</v>
          </cell>
          <cell r="E124">
            <v>101392</v>
          </cell>
          <cell r="F124">
            <v>1520880</v>
          </cell>
        </row>
        <row r="125">
          <cell r="A125">
            <v>4075500</v>
          </cell>
          <cell r="B125" t="str">
            <v>TUBERÍAS Y ACCES. PF+UAD y PE-AL-PE</v>
          </cell>
          <cell r="D125">
            <v>0</v>
          </cell>
          <cell r="E125">
            <v>0</v>
          </cell>
          <cell r="F125">
            <v>29313060</v>
          </cell>
        </row>
        <row r="126">
          <cell r="A126">
            <v>4075511</v>
          </cell>
          <cell r="B126" t="str">
            <v>TC Tub. PE-AL-PE  1/2"</v>
          </cell>
          <cell r="C126" t="str">
            <v>un</v>
          </cell>
          <cell r="D126">
            <v>9830</v>
          </cell>
          <cell r="E126">
            <v>2982</v>
          </cell>
          <cell r="F126">
            <v>29313060</v>
          </cell>
        </row>
        <row r="127">
          <cell r="A127">
            <v>4076600</v>
          </cell>
          <cell r="B127" t="str">
            <v>DESVÍOS Y REDUCCIONES EN H.F.</v>
          </cell>
          <cell r="D127">
            <v>0</v>
          </cell>
          <cell r="E127">
            <v>0</v>
          </cell>
          <cell r="F127">
            <v>1954039</v>
          </cell>
        </row>
        <row r="128">
          <cell r="A128">
            <v>4076648</v>
          </cell>
          <cell r="B128" t="str">
            <v>STC Reduccion H.F. E.L. PVC 6"x2"</v>
          </cell>
          <cell r="C128" t="str">
            <v>un</v>
          </cell>
          <cell r="D128">
            <v>1</v>
          </cell>
          <cell r="E128">
            <v>125248</v>
          </cell>
          <cell r="F128">
            <v>125248</v>
          </cell>
        </row>
        <row r="129">
          <cell r="A129">
            <v>4076650</v>
          </cell>
          <cell r="B129" t="str">
            <v>STC Reduccion H.F. E.L. PVC 6"x3"</v>
          </cell>
          <cell r="C129" t="str">
            <v>un</v>
          </cell>
          <cell r="D129">
            <v>3</v>
          </cell>
          <cell r="E129">
            <v>154160</v>
          </cell>
          <cell r="F129">
            <v>462480</v>
          </cell>
        </row>
        <row r="130">
          <cell r="A130">
            <v>4076652</v>
          </cell>
          <cell r="B130" t="str">
            <v>STC Reduccion H.F. E.L. PVC 6"x4"</v>
          </cell>
          <cell r="C130" t="str">
            <v>un</v>
          </cell>
          <cell r="D130">
            <v>5</v>
          </cell>
          <cell r="E130">
            <v>167855</v>
          </cell>
          <cell r="F130">
            <v>839275</v>
          </cell>
        </row>
        <row r="131">
          <cell r="A131">
            <v>4076658</v>
          </cell>
          <cell r="B131" t="str">
            <v>STC Reduccion H.F. E.L. PVC 8"x4"</v>
          </cell>
          <cell r="C131" t="str">
            <v>un</v>
          </cell>
          <cell r="D131">
            <v>2</v>
          </cell>
          <cell r="E131">
            <v>263518</v>
          </cell>
          <cell r="F131">
            <v>527036</v>
          </cell>
        </row>
        <row r="132">
          <cell r="A132">
            <v>4076900</v>
          </cell>
          <cell r="B132" t="str">
            <v>TEES EN H.F.</v>
          </cell>
          <cell r="D132">
            <v>0</v>
          </cell>
          <cell r="E132">
            <v>0</v>
          </cell>
          <cell r="F132">
            <v>13822200</v>
          </cell>
        </row>
        <row r="133">
          <cell r="A133">
            <v>4076910</v>
          </cell>
          <cell r="B133" t="str">
            <v>STC Tee H.F. E.L. PVC-AC 6"x3"</v>
          </cell>
          <cell r="C133" t="str">
            <v>un</v>
          </cell>
          <cell r="D133">
            <v>18</v>
          </cell>
          <cell r="E133">
            <v>227201</v>
          </cell>
          <cell r="F133">
            <v>4089618</v>
          </cell>
        </row>
        <row r="134">
          <cell r="A134">
            <v>4076911</v>
          </cell>
          <cell r="B134" t="str">
            <v>STC Tee H.F. E.L. PVC-AC 6"x4"</v>
          </cell>
          <cell r="C134" t="str">
            <v>un</v>
          </cell>
          <cell r="D134">
            <v>3</v>
          </cell>
          <cell r="E134">
            <v>269808</v>
          </cell>
          <cell r="F134">
            <v>809424</v>
          </cell>
        </row>
        <row r="135">
          <cell r="A135">
            <v>4076946</v>
          </cell>
          <cell r="B135" t="str">
            <v>STC Tee H.F. E.L. PVC 8"x6"</v>
          </cell>
          <cell r="C135" t="str">
            <v>un</v>
          </cell>
          <cell r="D135">
            <v>2</v>
          </cell>
          <cell r="E135">
            <v>663722</v>
          </cell>
          <cell r="F135">
            <v>1327444</v>
          </cell>
        </row>
        <row r="136">
          <cell r="A136">
            <v>4076978</v>
          </cell>
          <cell r="B136" t="str">
            <v>STC Tee H.F. E.L. AC 8"x3"</v>
          </cell>
          <cell r="C136" t="str">
            <v>un</v>
          </cell>
          <cell r="D136">
            <v>11</v>
          </cell>
          <cell r="E136">
            <v>546552</v>
          </cell>
          <cell r="F136">
            <v>6012072</v>
          </cell>
        </row>
        <row r="137">
          <cell r="A137">
            <v>4076984</v>
          </cell>
          <cell r="B137" t="str">
            <v>STC Tee H.F. E.L. AC 8"x8"</v>
          </cell>
          <cell r="C137" t="str">
            <v>un</v>
          </cell>
          <cell r="D137">
            <v>1</v>
          </cell>
          <cell r="E137">
            <v>709373</v>
          </cell>
          <cell r="F137">
            <v>709373</v>
          </cell>
        </row>
        <row r="138">
          <cell r="A138">
            <v>4076992</v>
          </cell>
          <cell r="B138" t="str">
            <v>STC Tee H.F. E.L. AC 10"x6"</v>
          </cell>
          <cell r="C138" t="str">
            <v>un</v>
          </cell>
          <cell r="D138">
            <v>1</v>
          </cell>
          <cell r="E138">
            <v>874269</v>
          </cell>
          <cell r="F138">
            <v>874269</v>
          </cell>
        </row>
        <row r="139">
          <cell r="A139">
            <v>4077200</v>
          </cell>
          <cell r="B139" t="str">
            <v>TEES Y TAPONES EN H.F. Continua 3..</v>
          </cell>
          <cell r="D139">
            <v>0</v>
          </cell>
          <cell r="E139">
            <v>0</v>
          </cell>
          <cell r="F139">
            <v>275268</v>
          </cell>
        </row>
        <row r="140">
          <cell r="A140">
            <v>4077290</v>
          </cell>
          <cell r="B140" t="str">
            <v>Retiro tapones existente 3"y 4"</v>
          </cell>
          <cell r="C140" t="str">
            <v>un</v>
          </cell>
          <cell r="D140">
            <v>7</v>
          </cell>
          <cell r="E140">
            <v>39324</v>
          </cell>
          <cell r="F140">
            <v>275268</v>
          </cell>
        </row>
        <row r="141">
          <cell r="A141">
            <v>4078200</v>
          </cell>
          <cell r="B141" t="str">
            <v>VÁLVULAS DE COMPUERTA</v>
          </cell>
          <cell r="D141">
            <v>0</v>
          </cell>
          <cell r="E141">
            <v>0</v>
          </cell>
          <cell r="F141">
            <v>2156010</v>
          </cell>
        </row>
        <row r="142">
          <cell r="A142">
            <v>4078204</v>
          </cell>
          <cell r="B142" t="str">
            <v>STC Valvula c.elas.H.D. EL.PVC 3"</v>
          </cell>
          <cell r="C142" t="str">
            <v>un</v>
          </cell>
          <cell r="D142">
            <v>34</v>
          </cell>
          <cell r="E142">
            <v>17783</v>
          </cell>
          <cell r="F142">
            <v>604622</v>
          </cell>
        </row>
        <row r="143">
          <cell r="A143">
            <v>4078206</v>
          </cell>
          <cell r="B143" t="str">
            <v>STC Valvula c.elas.H.D. EL.PVC 4"</v>
          </cell>
          <cell r="C143" t="str">
            <v>un</v>
          </cell>
          <cell r="D143">
            <v>39</v>
          </cell>
          <cell r="E143">
            <v>22232</v>
          </cell>
          <cell r="F143">
            <v>867048</v>
          </cell>
        </row>
        <row r="144">
          <cell r="A144">
            <v>4078218</v>
          </cell>
          <cell r="B144" t="str">
            <v>STC Valvula c.elas.H.D. EL.AC 6"</v>
          </cell>
          <cell r="C144" t="str">
            <v>un</v>
          </cell>
          <cell r="D144">
            <v>12</v>
          </cell>
          <cell r="E144">
            <v>52638</v>
          </cell>
          <cell r="F144">
            <v>631656</v>
          </cell>
        </row>
        <row r="145">
          <cell r="A145">
            <v>4078220</v>
          </cell>
          <cell r="B145" t="str">
            <v>STC Valvula c.elas.H.D. EL.AC 8"</v>
          </cell>
          <cell r="C145" t="str">
            <v>un</v>
          </cell>
          <cell r="D145">
            <v>1</v>
          </cell>
          <cell r="E145">
            <v>52684</v>
          </cell>
          <cell r="F145">
            <v>52684</v>
          </cell>
        </row>
        <row r="146">
          <cell r="A146">
            <v>4078300</v>
          </cell>
          <cell r="B146" t="str">
            <v>VÁLVULAS DE COMPUERTA Continuación.</v>
          </cell>
          <cell r="D146">
            <v>0</v>
          </cell>
          <cell r="E146">
            <v>0</v>
          </cell>
          <cell r="F146">
            <v>80642110</v>
          </cell>
        </row>
        <row r="147">
          <cell r="A147">
            <v>4078350</v>
          </cell>
          <cell r="B147" t="str">
            <v>ST e Intercal.Valv.d.com.VNA 2"</v>
          </cell>
          <cell r="C147" t="str">
            <v>un</v>
          </cell>
          <cell r="D147">
            <v>41</v>
          </cell>
          <cell r="E147">
            <v>442439</v>
          </cell>
          <cell r="F147">
            <v>18139999</v>
          </cell>
        </row>
        <row r="148">
          <cell r="A148">
            <v>4078371</v>
          </cell>
          <cell r="B148" t="str">
            <v>T e Intercal.Valv.d.com.VNA 3"</v>
          </cell>
          <cell r="C148" t="str">
            <v>un</v>
          </cell>
          <cell r="D148">
            <v>144</v>
          </cell>
          <cell r="E148">
            <v>218209</v>
          </cell>
          <cell r="F148">
            <v>31422096</v>
          </cell>
        </row>
        <row r="149">
          <cell r="A149">
            <v>4078372</v>
          </cell>
          <cell r="B149" t="str">
            <v>T e Intercal.Valv.d.com.VNA 4"</v>
          </cell>
          <cell r="C149" t="str">
            <v>un</v>
          </cell>
          <cell r="D149">
            <v>59</v>
          </cell>
          <cell r="E149">
            <v>242421</v>
          </cell>
          <cell r="F149">
            <v>14302839</v>
          </cell>
        </row>
        <row r="150">
          <cell r="A150">
            <v>4078373</v>
          </cell>
          <cell r="B150" t="str">
            <v>T e Intercal.Valv.d.com.VNA 6"</v>
          </cell>
          <cell r="C150" t="str">
            <v>un</v>
          </cell>
          <cell r="D150">
            <v>35</v>
          </cell>
          <cell r="E150">
            <v>368134</v>
          </cell>
          <cell r="F150">
            <v>12884690</v>
          </cell>
        </row>
        <row r="151">
          <cell r="A151">
            <v>4078374</v>
          </cell>
          <cell r="B151" t="str">
            <v>T e Intercal.Valv.d.com.VNA 8"</v>
          </cell>
          <cell r="C151" t="str">
            <v>un</v>
          </cell>
          <cell r="D151">
            <v>4</v>
          </cell>
          <cell r="E151">
            <v>553780</v>
          </cell>
          <cell r="F151">
            <v>2215120</v>
          </cell>
        </row>
        <row r="152">
          <cell r="A152">
            <v>4078375</v>
          </cell>
          <cell r="B152" t="str">
            <v>T e Intercal.Valv.d.com.VNA 10"</v>
          </cell>
          <cell r="C152" t="str">
            <v>un</v>
          </cell>
          <cell r="D152">
            <v>2</v>
          </cell>
          <cell r="E152">
            <v>838683</v>
          </cell>
          <cell r="F152">
            <v>1677366</v>
          </cell>
        </row>
        <row r="153">
          <cell r="A153">
            <v>4078400</v>
          </cell>
          <cell r="B153" t="str">
            <v>VÁLVULAS REGULADORAS PRESIÓN</v>
          </cell>
          <cell r="D153">
            <v>0</v>
          </cell>
          <cell r="E153">
            <v>0</v>
          </cell>
          <cell r="F153">
            <v>100258724</v>
          </cell>
        </row>
        <row r="154">
          <cell r="A154">
            <v>4078412</v>
          </cell>
          <cell r="B154" t="str">
            <v>STC Valvula reg.pre sin m.fluj 3"</v>
          </cell>
          <cell r="C154" t="str">
            <v>un</v>
          </cell>
          <cell r="D154">
            <v>12</v>
          </cell>
          <cell r="E154">
            <v>5746524</v>
          </cell>
          <cell r="F154">
            <v>68958288</v>
          </cell>
        </row>
        <row r="155">
          <cell r="A155">
            <v>4078416</v>
          </cell>
          <cell r="B155" t="str">
            <v>STC Valvula reg.pre sin m.fluj 4"</v>
          </cell>
          <cell r="C155" t="str">
            <v>un</v>
          </cell>
          <cell r="D155">
            <v>1</v>
          </cell>
          <cell r="E155">
            <v>7058802</v>
          </cell>
          <cell r="F155">
            <v>7058802</v>
          </cell>
        </row>
        <row r="156">
          <cell r="A156">
            <v>4078420</v>
          </cell>
          <cell r="B156" t="str">
            <v>STC Valvula reg.pre sin m.fluj 6"</v>
          </cell>
          <cell r="C156" t="str">
            <v>un</v>
          </cell>
          <cell r="D156">
            <v>2</v>
          </cell>
          <cell r="E156">
            <v>12120817</v>
          </cell>
          <cell r="F156">
            <v>24241634</v>
          </cell>
        </row>
        <row r="157">
          <cell r="A157">
            <v>4078700</v>
          </cell>
          <cell r="B157" t="str">
            <v>HIDRANTES</v>
          </cell>
          <cell r="D157">
            <v>0</v>
          </cell>
          <cell r="E157">
            <v>0</v>
          </cell>
          <cell r="F157">
            <v>44133</v>
          </cell>
        </row>
        <row r="158">
          <cell r="A158">
            <v>4078760</v>
          </cell>
          <cell r="B158" t="str">
            <v>T.C. de hidrante 3"</v>
          </cell>
          <cell r="C158" t="str">
            <v>un</v>
          </cell>
          <cell r="D158">
            <v>1</v>
          </cell>
          <cell r="E158">
            <v>44133</v>
          </cell>
          <cell r="F158">
            <v>44133</v>
          </cell>
        </row>
        <row r="159">
          <cell r="A159">
            <v>4079000</v>
          </cell>
          <cell r="B159" t="str">
            <v>UNIONES MECÁNICAS  Continuación1...</v>
          </cell>
          <cell r="D159">
            <v>0</v>
          </cell>
          <cell r="E159">
            <v>0</v>
          </cell>
          <cell r="F159">
            <v>12086051</v>
          </cell>
        </row>
        <row r="160">
          <cell r="A160">
            <v>4079080</v>
          </cell>
          <cell r="B160" t="str">
            <v>STC Union H.F. Tipo dresser 3"</v>
          </cell>
          <cell r="C160" t="str">
            <v>un</v>
          </cell>
          <cell r="D160">
            <v>99</v>
          </cell>
          <cell r="E160">
            <v>86644</v>
          </cell>
          <cell r="F160">
            <v>8577756</v>
          </cell>
        </row>
        <row r="161">
          <cell r="A161">
            <v>4079082</v>
          </cell>
          <cell r="B161" t="str">
            <v>STC Union H.F. Tipo dresser 4"</v>
          </cell>
          <cell r="C161" t="str">
            <v>un</v>
          </cell>
          <cell r="D161">
            <v>17</v>
          </cell>
          <cell r="E161">
            <v>105332</v>
          </cell>
          <cell r="F161">
            <v>1790644</v>
          </cell>
        </row>
        <row r="162">
          <cell r="A162">
            <v>4079084</v>
          </cell>
          <cell r="B162" t="str">
            <v>STC Union H.F. Tipo dresser 6"</v>
          </cell>
          <cell r="C162" t="str">
            <v>un</v>
          </cell>
          <cell r="D162">
            <v>4</v>
          </cell>
          <cell r="E162">
            <v>157249</v>
          </cell>
          <cell r="F162">
            <v>628996</v>
          </cell>
        </row>
        <row r="163">
          <cell r="A163">
            <v>4079086</v>
          </cell>
          <cell r="B163" t="str">
            <v>STC Union H.F. Tipo dresser 8"</v>
          </cell>
          <cell r="C163" t="str">
            <v>un</v>
          </cell>
          <cell r="D163">
            <v>5</v>
          </cell>
          <cell r="E163">
            <v>217731</v>
          </cell>
          <cell r="F163">
            <v>1088655</v>
          </cell>
        </row>
        <row r="164">
          <cell r="A164">
            <v>4079100</v>
          </cell>
          <cell r="B164" t="str">
            <v>UNIONES MECÁNICAS  Continuanción2..</v>
          </cell>
          <cell r="D164">
            <v>0</v>
          </cell>
          <cell r="E164">
            <v>0</v>
          </cell>
          <cell r="F164">
            <v>27980702</v>
          </cell>
        </row>
        <row r="165">
          <cell r="A165">
            <v>4079149</v>
          </cell>
          <cell r="B165" t="str">
            <v>STC unión univ. Ra59.5-72.0 mm</v>
          </cell>
          <cell r="C165" t="str">
            <v>un</v>
          </cell>
          <cell r="D165">
            <v>23</v>
          </cell>
          <cell r="E165">
            <v>43499</v>
          </cell>
          <cell r="F165">
            <v>1000477</v>
          </cell>
        </row>
        <row r="166">
          <cell r="A166">
            <v>4079150</v>
          </cell>
          <cell r="B166" t="str">
            <v>STC unión univ.Ra.88-102 75mm</v>
          </cell>
          <cell r="C166" t="str">
            <v>un</v>
          </cell>
          <cell r="D166">
            <v>46</v>
          </cell>
          <cell r="E166">
            <v>104615</v>
          </cell>
          <cell r="F166">
            <v>4812290</v>
          </cell>
        </row>
        <row r="167">
          <cell r="A167">
            <v>4079152</v>
          </cell>
          <cell r="B167" t="str">
            <v>STC unión univ.Ra.109-127 4"</v>
          </cell>
          <cell r="C167" t="str">
            <v>un</v>
          </cell>
          <cell r="D167">
            <v>59</v>
          </cell>
          <cell r="E167">
            <v>106504</v>
          </cell>
          <cell r="F167">
            <v>6283736</v>
          </cell>
        </row>
        <row r="168">
          <cell r="A168">
            <v>4079154</v>
          </cell>
          <cell r="B168" t="str">
            <v>STC unión univ.Ra.159-181 6"</v>
          </cell>
          <cell r="C168" t="str">
            <v>un</v>
          </cell>
          <cell r="D168">
            <v>48</v>
          </cell>
          <cell r="E168">
            <v>172633</v>
          </cell>
          <cell r="F168">
            <v>8286384</v>
          </cell>
        </row>
        <row r="169">
          <cell r="A169">
            <v>4079156</v>
          </cell>
          <cell r="B169" t="str">
            <v>STC unión univ.Ra.218-235 8"</v>
          </cell>
          <cell r="C169" t="str">
            <v>un</v>
          </cell>
          <cell r="D169">
            <v>25</v>
          </cell>
          <cell r="E169">
            <v>271447</v>
          </cell>
          <cell r="F169">
            <v>6786175</v>
          </cell>
        </row>
        <row r="170">
          <cell r="A170">
            <v>4079158</v>
          </cell>
          <cell r="B170" t="str">
            <v>STC unión univ.Ra.272-289 10"</v>
          </cell>
          <cell r="C170" t="str">
            <v>un</v>
          </cell>
          <cell r="D170">
            <v>2</v>
          </cell>
          <cell r="E170">
            <v>405820</v>
          </cell>
          <cell r="F170">
            <v>811640</v>
          </cell>
        </row>
        <row r="171">
          <cell r="A171">
            <v>4079300</v>
          </cell>
          <cell r="B171" t="str">
            <v>CAJAS PARA VÁLVULAS</v>
          </cell>
          <cell r="D171">
            <v>0</v>
          </cell>
          <cell r="E171">
            <v>0</v>
          </cell>
          <cell r="F171">
            <v>42089022</v>
          </cell>
        </row>
        <row r="172">
          <cell r="A172">
            <v>4079302</v>
          </cell>
          <cell r="B172" t="str">
            <v>Const.caja valvula con tapa -Esq.1</v>
          </cell>
          <cell r="C172" t="str">
            <v>un</v>
          </cell>
          <cell r="D172">
            <v>122</v>
          </cell>
          <cell r="E172">
            <v>176630</v>
          </cell>
          <cell r="F172">
            <v>21548860</v>
          </cell>
        </row>
        <row r="173">
          <cell r="A173">
            <v>4079318</v>
          </cell>
          <cell r="B173" t="str">
            <v>C. caja v.reg.pr 3" con me.fl-E.11</v>
          </cell>
          <cell r="C173" t="str">
            <v>un</v>
          </cell>
          <cell r="D173">
            <v>2</v>
          </cell>
          <cell r="E173">
            <v>2283024</v>
          </cell>
          <cell r="F173">
            <v>4566048</v>
          </cell>
        </row>
        <row r="174">
          <cell r="A174">
            <v>4079322</v>
          </cell>
          <cell r="B174" t="str">
            <v>C. caja v.reg.pr 6" con me.fl-E.11</v>
          </cell>
          <cell r="C174" t="str">
            <v>un</v>
          </cell>
          <cell r="D174">
            <v>3</v>
          </cell>
          <cell r="E174">
            <v>2894416</v>
          </cell>
          <cell r="F174">
            <v>8683248</v>
          </cell>
        </row>
        <row r="175">
          <cell r="A175">
            <v>4079334</v>
          </cell>
          <cell r="B175" t="str">
            <v>Muro cortina valv.adm.y expuls.aire</v>
          </cell>
          <cell r="C175" t="str">
            <v>m2</v>
          </cell>
          <cell r="D175">
            <v>25</v>
          </cell>
          <cell r="E175">
            <v>160898</v>
          </cell>
          <cell r="F175">
            <v>4022450</v>
          </cell>
        </row>
        <row r="176">
          <cell r="A176">
            <v>4079336</v>
          </cell>
          <cell r="B176" t="str">
            <v>Losa cubierta valv.adm.y expul.aire</v>
          </cell>
          <cell r="C176" t="str">
            <v>m2</v>
          </cell>
          <cell r="D176">
            <v>12</v>
          </cell>
          <cell r="E176">
            <v>174183</v>
          </cell>
          <cell r="F176">
            <v>2090196</v>
          </cell>
        </row>
        <row r="177">
          <cell r="A177">
            <v>4079338</v>
          </cell>
          <cell r="B177" t="str">
            <v>Losa fondo valv. descarga y flujo</v>
          </cell>
          <cell r="C177" t="str">
            <v>m2</v>
          </cell>
          <cell r="D177">
            <v>12</v>
          </cell>
          <cell r="E177">
            <v>98185</v>
          </cell>
          <cell r="F177">
            <v>1178220</v>
          </cell>
        </row>
        <row r="178">
          <cell r="A178">
            <v>4079400</v>
          </cell>
          <cell r="B178" t="str">
            <v>ACOMETIDAS DE ACUEDUCTO</v>
          </cell>
          <cell r="D178">
            <v>0</v>
          </cell>
          <cell r="E178">
            <v>0</v>
          </cell>
          <cell r="F178">
            <v>90847137</v>
          </cell>
        </row>
        <row r="179">
          <cell r="A179">
            <v>4079414</v>
          </cell>
          <cell r="B179" t="str">
            <v>STC Llave Corte o Acera-racor 1/2"</v>
          </cell>
          <cell r="C179" t="str">
            <v>un</v>
          </cell>
          <cell r="D179">
            <v>1420</v>
          </cell>
          <cell r="E179">
            <v>5950</v>
          </cell>
          <cell r="F179">
            <v>8449000</v>
          </cell>
        </row>
        <row r="180">
          <cell r="A180">
            <v>4079426</v>
          </cell>
          <cell r="B180" t="str">
            <v>STC Llave Incorporacion conica 1/2"</v>
          </cell>
          <cell r="C180" t="str">
            <v>un</v>
          </cell>
          <cell r="D180">
            <v>2902</v>
          </cell>
          <cell r="E180">
            <v>13487</v>
          </cell>
          <cell r="F180">
            <v>39139274</v>
          </cell>
        </row>
        <row r="181">
          <cell r="A181">
            <v>4079449</v>
          </cell>
          <cell r="B181" t="str">
            <v>STC Llave paso libre o contenc.1/2"</v>
          </cell>
          <cell r="C181" t="str">
            <v>un</v>
          </cell>
          <cell r="D181">
            <v>126</v>
          </cell>
          <cell r="E181">
            <v>5582</v>
          </cell>
          <cell r="F181">
            <v>703332</v>
          </cell>
        </row>
        <row r="182">
          <cell r="A182">
            <v>4079459</v>
          </cell>
          <cell r="B182" t="str">
            <v>STC Collar H.D p' PVCx1/2 3"</v>
          </cell>
          <cell r="C182" t="str">
            <v>un</v>
          </cell>
          <cell r="D182">
            <v>2245</v>
          </cell>
          <cell r="E182">
            <v>14835</v>
          </cell>
          <cell r="F182">
            <v>33304575</v>
          </cell>
        </row>
        <row r="183">
          <cell r="A183">
            <v>4079460</v>
          </cell>
          <cell r="B183" t="str">
            <v>STC Collar H.D p' PVCx1/2 4"</v>
          </cell>
          <cell r="C183" t="str">
            <v>un</v>
          </cell>
          <cell r="D183">
            <v>468</v>
          </cell>
          <cell r="E183">
            <v>19767</v>
          </cell>
          <cell r="F183">
            <v>9250956</v>
          </cell>
        </row>
        <row r="184">
          <cell r="A184">
            <v>4079500</v>
          </cell>
          <cell r="B184" t="str">
            <v>COLLARES CONTINUACIÓN.....</v>
          </cell>
          <cell r="C184" t="str">
            <v>un</v>
          </cell>
          <cell r="D184">
            <v>0</v>
          </cell>
          <cell r="E184">
            <v>0</v>
          </cell>
          <cell r="F184">
            <v>3137706</v>
          </cell>
        </row>
        <row r="185">
          <cell r="A185">
            <v>4079569</v>
          </cell>
          <cell r="B185" t="str">
            <v>STC Union 3 partes CU t.CU-PVC 1/2"</v>
          </cell>
          <cell r="C185" t="str">
            <v>un</v>
          </cell>
          <cell r="D185">
            <v>159</v>
          </cell>
          <cell r="E185">
            <v>19734</v>
          </cell>
          <cell r="F185">
            <v>3137706</v>
          </cell>
        </row>
        <row r="186">
          <cell r="A186">
            <v>4079600</v>
          </cell>
          <cell r="B186" t="str">
            <v>MEDIDORES DE ACUEDUCTO</v>
          </cell>
          <cell r="D186">
            <v>0</v>
          </cell>
          <cell r="E186">
            <v>0</v>
          </cell>
          <cell r="F186">
            <v>1397214</v>
          </cell>
        </row>
        <row r="187">
          <cell r="A187">
            <v>4079601</v>
          </cell>
          <cell r="B187" t="str">
            <v>STC Medidor tipo volum. 1/2"</v>
          </cell>
          <cell r="C187" t="str">
            <v>un</v>
          </cell>
          <cell r="D187">
            <v>126</v>
          </cell>
          <cell r="E187">
            <v>11089</v>
          </cell>
          <cell r="F187">
            <v>1397214</v>
          </cell>
        </row>
        <row r="188">
          <cell r="A188">
            <v>4079700</v>
          </cell>
          <cell r="B188" t="str">
            <v>CAJAS Y TAPAS PARA MEDIDORES</v>
          </cell>
          <cell r="D188">
            <v>0</v>
          </cell>
          <cell r="E188">
            <v>0</v>
          </cell>
          <cell r="F188">
            <v>5673402</v>
          </cell>
        </row>
        <row r="189">
          <cell r="A189">
            <v>4079702</v>
          </cell>
          <cell r="B189" t="str">
            <v>C. caja medi.anden&lt;19mm-Eq.24-No.ta</v>
          </cell>
          <cell r="C189" t="str">
            <v>un</v>
          </cell>
          <cell r="D189">
            <v>126</v>
          </cell>
          <cell r="E189">
            <v>35962</v>
          </cell>
          <cell r="F189">
            <v>4531212</v>
          </cell>
        </row>
        <row r="190">
          <cell r="A190">
            <v>4079746</v>
          </cell>
          <cell r="B190" t="str">
            <v>TC tapa HD caja medidor 1/2"</v>
          </cell>
          <cell r="C190" t="str">
            <v>un</v>
          </cell>
          <cell r="D190">
            <v>126</v>
          </cell>
          <cell r="E190">
            <v>9065</v>
          </cell>
          <cell r="F190">
            <v>1142190</v>
          </cell>
        </row>
        <row r="191">
          <cell r="A191">
            <v>0</v>
          </cell>
        </row>
        <row r="192">
          <cell r="A192">
            <v>4080000</v>
          </cell>
          <cell r="B192" t="str">
            <v>REDES Y ACOMET. ALCANTARILLADO</v>
          </cell>
          <cell r="D192">
            <v>0</v>
          </cell>
          <cell r="E192">
            <v>0</v>
          </cell>
          <cell r="F192">
            <v>7147843</v>
          </cell>
        </row>
        <row r="193">
          <cell r="A193">
            <v>4082000</v>
          </cell>
          <cell r="B193" t="str">
            <v>TUBERÍAS CTO. ALCANTARILLADO</v>
          </cell>
          <cell r="D193">
            <v>0</v>
          </cell>
          <cell r="E193">
            <v>0</v>
          </cell>
          <cell r="F193">
            <v>642150</v>
          </cell>
        </row>
        <row r="194">
          <cell r="A194">
            <v>4082004</v>
          </cell>
          <cell r="B194" t="str">
            <v>STC Tub.Cto.simple U.caucho 6"Cl.1</v>
          </cell>
          <cell r="C194" t="str">
            <v>m</v>
          </cell>
          <cell r="D194">
            <v>18</v>
          </cell>
          <cell r="E194">
            <v>18646</v>
          </cell>
          <cell r="F194">
            <v>335628</v>
          </cell>
        </row>
        <row r="195">
          <cell r="A195">
            <v>4082008</v>
          </cell>
          <cell r="B195" t="str">
            <v>STC Tub.Cto.simple U.caucho 10"Cl.1</v>
          </cell>
          <cell r="C195" t="str">
            <v>m</v>
          </cell>
          <cell r="D195">
            <v>9</v>
          </cell>
          <cell r="E195">
            <v>34058</v>
          </cell>
          <cell r="F195">
            <v>306522</v>
          </cell>
        </row>
        <row r="196">
          <cell r="A196">
            <v>4083100</v>
          </cell>
          <cell r="B196" t="str">
            <v>TUBERÍA PVA-ALCANT. Continuación...</v>
          </cell>
          <cell r="D196">
            <v>0</v>
          </cell>
          <cell r="E196">
            <v>0</v>
          </cell>
          <cell r="F196">
            <v>3481500</v>
          </cell>
        </row>
        <row r="197">
          <cell r="A197">
            <v>4083170</v>
          </cell>
          <cell r="B197" t="str">
            <v>STC Tuberia PVC-S U.S. 6"</v>
          </cell>
          <cell r="C197" t="str">
            <v>m</v>
          </cell>
          <cell r="D197">
            <v>75</v>
          </cell>
          <cell r="E197">
            <v>46420</v>
          </cell>
          <cell r="F197">
            <v>3481500</v>
          </cell>
        </row>
        <row r="198">
          <cell r="A198">
            <v>4085900</v>
          </cell>
          <cell r="B198" t="str">
            <v>CAJAS DE EMPALME A LA RED</v>
          </cell>
          <cell r="D198">
            <v>0</v>
          </cell>
          <cell r="E198">
            <v>0</v>
          </cell>
          <cell r="F198">
            <v>641400</v>
          </cell>
        </row>
        <row r="199">
          <cell r="A199">
            <v>4085901</v>
          </cell>
          <cell r="B199" t="str">
            <v>Const.caja empalme a la red Esq. 27</v>
          </cell>
          <cell r="C199" t="str">
            <v>un</v>
          </cell>
          <cell r="D199">
            <v>10</v>
          </cell>
          <cell r="E199">
            <v>64140</v>
          </cell>
          <cell r="F199">
            <v>641400</v>
          </cell>
        </row>
        <row r="200">
          <cell r="A200">
            <v>4086300</v>
          </cell>
          <cell r="B200" t="str">
            <v>SUMIDEROS</v>
          </cell>
          <cell r="D200">
            <v>0</v>
          </cell>
          <cell r="E200">
            <v>0</v>
          </cell>
          <cell r="F200">
            <v>2382793</v>
          </cell>
        </row>
        <row r="201">
          <cell r="A201">
            <v>4086310</v>
          </cell>
          <cell r="B201" t="str">
            <v>Const.sumidero aguas llu.T.B</v>
          </cell>
          <cell r="C201" t="str">
            <v>un</v>
          </cell>
          <cell r="D201">
            <v>7</v>
          </cell>
          <cell r="E201">
            <v>340399</v>
          </cell>
          <cell r="F201">
            <v>2382793</v>
          </cell>
        </row>
        <row r="202">
          <cell r="A202">
            <v>0</v>
          </cell>
        </row>
        <row r="203">
          <cell r="A203">
            <v>4140000</v>
          </cell>
          <cell r="B203" t="str">
            <v>MAMPORTERÍA Y PREFABRICADOS</v>
          </cell>
          <cell r="D203">
            <v>0</v>
          </cell>
          <cell r="E203">
            <v>0</v>
          </cell>
          <cell r="F203">
            <v>352010</v>
          </cell>
        </row>
        <row r="204">
          <cell r="A204">
            <v>4140100</v>
          </cell>
          <cell r="B204" t="str">
            <v>MURO EN LADRILLO O BLOQUE CTO.</v>
          </cell>
          <cell r="D204">
            <v>0</v>
          </cell>
          <cell r="E204">
            <v>0</v>
          </cell>
          <cell r="F204">
            <v>352010</v>
          </cell>
        </row>
        <row r="205">
          <cell r="A205">
            <v>4140104</v>
          </cell>
          <cell r="B205" t="str">
            <v>Construccion muro bloque e=10cm</v>
          </cell>
          <cell r="C205" t="str">
            <v>m2</v>
          </cell>
          <cell r="D205">
            <v>5</v>
          </cell>
          <cell r="E205">
            <v>28919</v>
          </cell>
          <cell r="F205">
            <v>144595</v>
          </cell>
        </row>
        <row r="206">
          <cell r="A206">
            <v>4140140</v>
          </cell>
          <cell r="B206" t="str">
            <v>Construccion muro ladrillo e=20cm</v>
          </cell>
          <cell r="C206" t="str">
            <v>m2</v>
          </cell>
          <cell r="D206">
            <v>5</v>
          </cell>
          <cell r="E206">
            <v>41483</v>
          </cell>
          <cell r="F206">
            <v>207415</v>
          </cell>
        </row>
        <row r="207">
          <cell r="A207">
            <v>0</v>
          </cell>
        </row>
        <row r="208">
          <cell r="A208">
            <v>4250000</v>
          </cell>
          <cell r="B208" t="str">
            <v>MMTO. DE REDES DE ACUEDUCTO</v>
          </cell>
          <cell r="D208">
            <v>0</v>
          </cell>
          <cell r="E208">
            <v>0</v>
          </cell>
          <cell r="F208">
            <v>2358351</v>
          </cell>
        </row>
        <row r="209">
          <cell r="A209">
            <v>4250100</v>
          </cell>
          <cell r="B209" t="str">
            <v>MANTENIMIENTO ACOMETIDAS ACUEDUCTO</v>
          </cell>
          <cell r="D209">
            <v>0</v>
          </cell>
          <cell r="E209">
            <v>0</v>
          </cell>
          <cell r="F209">
            <v>2358351</v>
          </cell>
        </row>
        <row r="210">
          <cell r="A210">
            <v>4250103</v>
          </cell>
          <cell r="B210" t="str">
            <v>Cambio de tomas acueducto 1/2"</v>
          </cell>
          <cell r="C210" t="str">
            <v>un</v>
          </cell>
          <cell r="D210">
            <v>207</v>
          </cell>
          <cell r="E210">
            <v>11393</v>
          </cell>
          <cell r="F210">
            <v>2358351</v>
          </cell>
        </row>
        <row r="211">
          <cell r="A211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U"/>
      <sheetName val="PRESTA"/>
      <sheetName val="BASE"/>
      <sheetName val="BASE CTOS"/>
      <sheetName val="PRELIM"/>
      <sheetName val="TUBERIA"/>
      <sheetName val="EXCAVA"/>
      <sheetName val="BASE_CTOS"/>
      <sheetName val="BASE_CTOS1"/>
      <sheetName val="BASE_CTOS5"/>
      <sheetName val="BASE_CTOS2"/>
      <sheetName val="BASE_CTOS3"/>
      <sheetName val="BASE_CTOS4"/>
      <sheetName val="BASE_CTOS6"/>
    </sheetNames>
    <sheetDataSet>
      <sheetData sheetId="0" refreshError="1"/>
      <sheetData sheetId="1" refreshError="1"/>
      <sheetData sheetId="2">
        <row r="455">
          <cell r="D455">
            <v>53359.999999999993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iseño"/>
      <sheetName val="Diagnóstico"/>
      <sheetName val="Ppto total"/>
      <sheetName val="Tabla"/>
      <sheetName val="Cimentación"/>
      <sheetName val="Parámetros"/>
      <sheetName val="Resumen tubería"/>
      <sheetName val="Tabla 4.1 Distrito Nº1"/>
      <sheetName val="Tabla 4.2 Distrito Nº2"/>
      <sheetName val="Tabal 4.3 Resumén distritos"/>
      <sheetName val="Tabla 4.4 Sistemas"/>
      <sheetName val="Insuficiencia"/>
      <sheetName val="Ppto alcantarillado"/>
      <sheetName val="Base_de_Diseño"/>
      <sheetName val="Ppto_total"/>
      <sheetName val="Resumen_tubería"/>
      <sheetName val="Tabla_4_1_Distrito_Nº1"/>
      <sheetName val="Tabla_4_2_Distrito_Nº2"/>
      <sheetName val="Tabal_4_3_Resumén_distritos"/>
      <sheetName val="Tabla_4_4_Sistemas"/>
      <sheetName val="Ppto_alcantarillado"/>
      <sheetName val="Base_de_Diseño1"/>
      <sheetName val="Ppto_total1"/>
      <sheetName val="Resumen_tubería1"/>
      <sheetName val="Tabla_4_1_Distrito_Nº11"/>
      <sheetName val="Tabla_4_2_Distrito_Nº21"/>
      <sheetName val="Tabal_4_3_Resumén_distritos1"/>
      <sheetName val="Tabla_4_4_Sistemas1"/>
      <sheetName val="Ppto_alcantarillado1"/>
      <sheetName val="Base_de_Diseño5"/>
      <sheetName val="Ppto_total5"/>
      <sheetName val="Resumen_tubería5"/>
      <sheetName val="Tabla_4_1_Distrito_Nº15"/>
      <sheetName val="Tabla_4_2_Distrito_Nº25"/>
      <sheetName val="Tabal_4_3_Resumén_distritos5"/>
      <sheetName val="Tabla_4_4_Sistemas5"/>
      <sheetName val="Ppto_alcantarillado5"/>
      <sheetName val="Base_de_Diseño2"/>
      <sheetName val="Ppto_total2"/>
      <sheetName val="Resumen_tubería2"/>
      <sheetName val="Tabla_4_1_Distrito_Nº12"/>
      <sheetName val="Tabla_4_2_Distrito_Nº22"/>
      <sheetName val="Tabal_4_3_Resumén_distritos2"/>
      <sheetName val="Tabla_4_4_Sistemas2"/>
      <sheetName val="Ppto_alcantarillado2"/>
      <sheetName val="Base_de_Diseño3"/>
      <sheetName val="Ppto_total3"/>
      <sheetName val="Resumen_tubería3"/>
      <sheetName val="Tabla_4_1_Distrito_Nº13"/>
      <sheetName val="Tabla_4_2_Distrito_Nº23"/>
      <sheetName val="Tabal_4_3_Resumén_distritos3"/>
      <sheetName val="Tabla_4_4_Sistemas3"/>
      <sheetName val="Ppto_alcantarillado3"/>
      <sheetName val="Base_de_Diseño4"/>
      <sheetName val="Ppto_total4"/>
      <sheetName val="Resumen_tubería4"/>
      <sheetName val="Tabla_4_1_Distrito_Nº14"/>
      <sheetName val="Tabla_4_2_Distrito_Nº24"/>
      <sheetName val="Tabal_4_3_Resumén_distritos4"/>
      <sheetName val="Tabla_4_4_Sistemas4"/>
      <sheetName val="Ppto_alcantarillado4"/>
      <sheetName val="Base_de_Diseño6"/>
      <sheetName val="Ppto_total6"/>
      <sheetName val="Resumen_tubería6"/>
      <sheetName val="Tabla_4_1_Distrito_Nº16"/>
      <sheetName val="Tabla_4_2_Distrito_Nº26"/>
      <sheetName val="Tabal_4_3_Resumén_distritos6"/>
      <sheetName val="Tabla_4_4_Sistemas6"/>
      <sheetName val="Ppto_alcantarillado6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Name</v>
          </cell>
          <cell r="B1" t="str">
            <v>North</v>
          </cell>
          <cell r="C1" t="str">
            <v>East</v>
          </cell>
          <cell r="D1" t="str">
            <v>Zeta</v>
          </cell>
        </row>
        <row r="2">
          <cell r="A2" t="str">
            <v>56A</v>
          </cell>
          <cell r="B2">
            <v>1150890.493277774</v>
          </cell>
          <cell r="C2">
            <v>1148699.9976036465</v>
          </cell>
          <cell r="D2">
            <v>1357.8468233615824</v>
          </cell>
        </row>
        <row r="3">
          <cell r="A3" t="str">
            <v>55´</v>
          </cell>
          <cell r="B3">
            <v>1150939.6088</v>
          </cell>
          <cell r="C3">
            <v>1148731.3541999999</v>
          </cell>
          <cell r="D3">
            <v>1353.26</v>
          </cell>
        </row>
        <row r="4">
          <cell r="A4" t="str">
            <v>51B</v>
          </cell>
          <cell r="B4">
            <v>1150967.3355223082</v>
          </cell>
          <cell r="C4">
            <v>1148745.3622652381</v>
          </cell>
          <cell r="D4">
            <v>1351.3370866375085</v>
          </cell>
        </row>
        <row r="5">
          <cell r="A5">
            <v>51</v>
          </cell>
          <cell r="B5">
            <v>1151008.2450840478</v>
          </cell>
          <cell r="C5">
            <v>1148788.9781526409</v>
          </cell>
          <cell r="D5">
            <v>1346.7613011758103</v>
          </cell>
        </row>
        <row r="6">
          <cell r="A6">
            <v>52</v>
          </cell>
          <cell r="B6">
            <v>1151008.3400097564</v>
          </cell>
          <cell r="C6">
            <v>1148797.9004691627</v>
          </cell>
          <cell r="D6">
            <v>1346.7115480832808</v>
          </cell>
        </row>
        <row r="7">
          <cell r="A7">
            <v>153</v>
          </cell>
          <cell r="B7">
            <v>1151652.4674790408</v>
          </cell>
          <cell r="C7">
            <v>1148568.56123569</v>
          </cell>
          <cell r="D7">
            <v>1308.1328615355651</v>
          </cell>
        </row>
        <row r="8">
          <cell r="A8" t="str">
            <v>54A</v>
          </cell>
          <cell r="B8">
            <v>1150953.9060811799</v>
          </cell>
          <cell r="C8">
            <v>1148835.3323437518</v>
          </cell>
          <cell r="D8">
            <v>1359.4524193247446</v>
          </cell>
        </row>
        <row r="9">
          <cell r="A9">
            <v>50</v>
          </cell>
          <cell r="B9">
            <v>1151079.4170390253</v>
          </cell>
          <cell r="C9">
            <v>1148780.2852623155</v>
          </cell>
          <cell r="D9">
            <v>1341.7160417902012</v>
          </cell>
        </row>
        <row r="10">
          <cell r="A10" t="str">
            <v>49A</v>
          </cell>
          <cell r="B10">
            <v>1151132.4496352081</v>
          </cell>
          <cell r="C10">
            <v>1148766.1117737354</v>
          </cell>
          <cell r="D10">
            <v>1337.3564679161727</v>
          </cell>
        </row>
        <row r="11">
          <cell r="A11">
            <v>48</v>
          </cell>
          <cell r="B11">
            <v>1151204.7227012513</v>
          </cell>
          <cell r="C11">
            <v>1148731.7370260572</v>
          </cell>
          <cell r="D11">
            <v>1333.5220250614016</v>
          </cell>
        </row>
        <row r="12">
          <cell r="A12" t="str">
            <v>79A</v>
          </cell>
          <cell r="B12">
            <v>1151203.5444295572</v>
          </cell>
          <cell r="C12">
            <v>1148729.5418679791</v>
          </cell>
          <cell r="D12">
            <v>1333.5779267467412</v>
          </cell>
        </row>
        <row r="13">
          <cell r="A13">
            <v>57</v>
          </cell>
          <cell r="B13">
            <v>1151168.1878823163</v>
          </cell>
          <cell r="C13">
            <v>1148835.7758053313</v>
          </cell>
          <cell r="D13">
            <v>1332.341811154718</v>
          </cell>
        </row>
        <row r="14">
          <cell r="A14">
            <v>47</v>
          </cell>
          <cell r="B14">
            <v>1151238.3266864987</v>
          </cell>
          <cell r="C14">
            <v>1148798.0507170982</v>
          </cell>
          <cell r="D14">
            <v>1330.9776230528728</v>
          </cell>
        </row>
        <row r="15">
          <cell r="A15">
            <v>22</v>
          </cell>
          <cell r="B15">
            <v>1151183.4416591949</v>
          </cell>
          <cell r="C15">
            <v>1148869.4940884453</v>
          </cell>
          <cell r="D15">
            <v>1330.4908393994401</v>
          </cell>
        </row>
        <row r="16">
          <cell r="A16">
            <v>21</v>
          </cell>
          <cell r="B16">
            <v>1151210.6655712093</v>
          </cell>
          <cell r="C16">
            <v>1148921.8264671685</v>
          </cell>
          <cell r="D16">
            <v>1332.9726121331232</v>
          </cell>
        </row>
        <row r="17">
          <cell r="A17">
            <v>58</v>
          </cell>
          <cell r="B17">
            <v>1151133.5163972522</v>
          </cell>
          <cell r="C17">
            <v>1148853.6335178257</v>
          </cell>
          <cell r="D17">
            <v>1335.3154292551149</v>
          </cell>
        </row>
        <row r="18">
          <cell r="A18" t="str">
            <v>20A</v>
          </cell>
          <cell r="B18">
            <v>1151228.5688273532</v>
          </cell>
          <cell r="C18">
            <v>1148957.0964353324</v>
          </cell>
          <cell r="D18">
            <v>1333.7781795124936</v>
          </cell>
        </row>
        <row r="19">
          <cell r="A19">
            <v>23</v>
          </cell>
          <cell r="B19">
            <v>1151282.1254725184</v>
          </cell>
          <cell r="C19">
            <v>1148884.2047152522</v>
          </cell>
          <cell r="D19">
            <v>1326.8094664403145</v>
          </cell>
        </row>
        <row r="20">
          <cell r="A20">
            <v>19</v>
          </cell>
          <cell r="B20">
            <v>1151151.411888367</v>
          </cell>
          <cell r="C20">
            <v>1148951.560060662</v>
          </cell>
          <cell r="D20">
            <v>1336.3897296079072</v>
          </cell>
        </row>
        <row r="21">
          <cell r="A21">
            <v>7</v>
          </cell>
          <cell r="B21">
            <v>1150993.2220902746</v>
          </cell>
          <cell r="C21">
            <v>1148968.7832952163</v>
          </cell>
          <cell r="D21">
            <v>1361.8109900723489</v>
          </cell>
        </row>
        <row r="22">
          <cell r="A22">
            <v>244</v>
          </cell>
          <cell r="B22">
            <v>1151135.7517834278</v>
          </cell>
          <cell r="C22">
            <v>1148953.992519429</v>
          </cell>
          <cell r="D22">
            <v>1337.9686773003784</v>
          </cell>
        </row>
        <row r="23">
          <cell r="A23" t="str">
            <v>18A</v>
          </cell>
          <cell r="B23">
            <v>1151108.2314831046</v>
          </cell>
          <cell r="C23">
            <v>1148902.5007640375</v>
          </cell>
          <cell r="D23">
            <v>1339.8995084173137</v>
          </cell>
        </row>
        <row r="24">
          <cell r="A24">
            <v>261</v>
          </cell>
          <cell r="B24">
            <v>1151135.7517834278</v>
          </cell>
          <cell r="C24">
            <v>1148953.992519429</v>
          </cell>
          <cell r="D24">
            <v>1337.9686773003784</v>
          </cell>
        </row>
        <row r="25">
          <cell r="A25">
            <v>46</v>
          </cell>
          <cell r="B25">
            <v>1151112.4610964647</v>
          </cell>
          <cell r="C25">
            <v>1148936.2977245869</v>
          </cell>
          <cell r="D25">
            <v>1343.2294872909042</v>
          </cell>
        </row>
        <row r="26">
          <cell r="A26" t="str">
            <v>45A</v>
          </cell>
          <cell r="B26">
            <v>1151098.5621628934</v>
          </cell>
          <cell r="C26">
            <v>1148908.6707229412</v>
          </cell>
          <cell r="D26">
            <v>1344.8006000362748</v>
          </cell>
        </row>
        <row r="27">
          <cell r="A27">
            <v>61</v>
          </cell>
          <cell r="B27">
            <v>1151083.6715819638</v>
          </cell>
          <cell r="C27">
            <v>1148879.9605464032</v>
          </cell>
          <cell r="D27">
            <v>1344.0350426577841</v>
          </cell>
        </row>
        <row r="28">
          <cell r="A28">
            <v>10</v>
          </cell>
          <cell r="B28">
            <v>1151058.5954847152</v>
          </cell>
          <cell r="C28">
            <v>1148998.1493384498</v>
          </cell>
          <cell r="D28">
            <v>1351.4400127770471</v>
          </cell>
        </row>
        <row r="29">
          <cell r="A29">
            <v>9</v>
          </cell>
          <cell r="B29">
            <v>1151026.355220868</v>
          </cell>
          <cell r="C29">
            <v>1148935.1216390317</v>
          </cell>
          <cell r="D29">
            <v>1354.8503867135087</v>
          </cell>
        </row>
        <row r="30">
          <cell r="A30">
            <v>8</v>
          </cell>
          <cell r="B30">
            <v>1151022.9865773923</v>
          </cell>
          <cell r="C30">
            <v>1148930.3547811224</v>
          </cell>
          <cell r="D30">
            <v>1355.2620701696233</v>
          </cell>
        </row>
        <row r="31">
          <cell r="A31" t="str">
            <v>14A</v>
          </cell>
          <cell r="B31">
            <v>1151026.8686560146</v>
          </cell>
          <cell r="C31">
            <v>1149064.3791065551</v>
          </cell>
          <cell r="D31">
            <v>1359.647664261031</v>
          </cell>
        </row>
        <row r="32">
          <cell r="A32">
            <v>12</v>
          </cell>
          <cell r="B32">
            <v>1151098.5188178634</v>
          </cell>
          <cell r="C32">
            <v>1149073.4922249566</v>
          </cell>
          <cell r="D32">
            <v>1355.8392352142116</v>
          </cell>
        </row>
        <row r="33">
          <cell r="A33">
            <v>11</v>
          </cell>
          <cell r="B33">
            <v>1151077.6619190925</v>
          </cell>
          <cell r="C33">
            <v>1149036.7897374383</v>
          </cell>
          <cell r="D33">
            <v>1354.4959158024456</v>
          </cell>
        </row>
        <row r="34">
          <cell r="A34">
            <v>13</v>
          </cell>
          <cell r="B34">
            <v>1151048.3990745903</v>
          </cell>
          <cell r="C34">
            <v>1149099.0257615754</v>
          </cell>
          <cell r="D34">
            <v>1357.9725179132356</v>
          </cell>
        </row>
        <row r="35">
          <cell r="A35">
            <v>262</v>
          </cell>
          <cell r="B35">
            <v>1151004.4912259961</v>
          </cell>
          <cell r="C35">
            <v>1149025.0849031573</v>
          </cell>
          <cell r="D35">
            <v>1361.4499153808936</v>
          </cell>
        </row>
        <row r="36">
          <cell r="A36">
            <v>16</v>
          </cell>
          <cell r="B36">
            <v>1150995.1874033813</v>
          </cell>
          <cell r="C36">
            <v>1149029.8121934782</v>
          </cell>
          <cell r="D36">
            <v>1363.2155277383447</v>
          </cell>
        </row>
        <row r="37">
          <cell r="A37" t="str">
            <v>15A</v>
          </cell>
          <cell r="B37">
            <v>1150977.7464497215</v>
          </cell>
          <cell r="C37">
            <v>1149038.6658172507</v>
          </cell>
          <cell r="D37">
            <v>1364.7401172085349</v>
          </cell>
        </row>
        <row r="38">
          <cell r="A38">
            <v>6</v>
          </cell>
          <cell r="B38">
            <v>1150963.1274990751</v>
          </cell>
          <cell r="C38">
            <v>1149008.347188845</v>
          </cell>
          <cell r="D38">
            <v>1364.3542953925962</v>
          </cell>
        </row>
        <row r="39">
          <cell r="A39">
            <v>17</v>
          </cell>
          <cell r="B39">
            <v>1151141.8034219691</v>
          </cell>
          <cell r="C39">
            <v>1148956.3900550397</v>
          </cell>
          <cell r="D39">
            <v>1337.4683796959914</v>
          </cell>
        </row>
        <row r="40">
          <cell r="A40" t="str">
            <v>200A</v>
          </cell>
          <cell r="B40">
            <v>1151032.3495295774</v>
          </cell>
          <cell r="C40">
            <v>1148924.3942487428</v>
          </cell>
          <cell r="D40">
            <v>1354.525102858337</v>
          </cell>
        </row>
        <row r="41">
          <cell r="A41">
            <v>63</v>
          </cell>
          <cell r="B41">
            <v>1151055.4543660544</v>
          </cell>
          <cell r="C41">
            <v>1148921.7278309299</v>
          </cell>
          <cell r="D41">
            <v>1352.3889884608823</v>
          </cell>
        </row>
        <row r="42">
          <cell r="A42" t="str">
            <v>64A</v>
          </cell>
          <cell r="B42">
            <v>1151072.0636055109</v>
          </cell>
          <cell r="C42">
            <v>1148955.61588167</v>
          </cell>
          <cell r="D42">
            <v>1352.3702292516743</v>
          </cell>
        </row>
        <row r="43">
          <cell r="A43">
            <v>62</v>
          </cell>
          <cell r="B43">
            <v>1151059.7261104977</v>
          </cell>
          <cell r="C43">
            <v>1148899.3567772531</v>
          </cell>
          <cell r="D43">
            <v>1350.545742305291</v>
          </cell>
        </row>
        <row r="44">
          <cell r="A44">
            <v>44</v>
          </cell>
          <cell r="B44">
            <v>1151264.8361581019</v>
          </cell>
          <cell r="C44">
            <v>1148850.0532957893</v>
          </cell>
          <cell r="D44">
            <v>1327.8954260108117</v>
          </cell>
        </row>
        <row r="45">
          <cell r="A45">
            <v>24</v>
          </cell>
          <cell r="B45">
            <v>1151309.21</v>
          </cell>
          <cell r="C45">
            <v>1148870.7</v>
          </cell>
          <cell r="D45">
            <v>1326.28</v>
          </cell>
        </row>
        <row r="46">
          <cell r="A46">
            <v>25</v>
          </cell>
          <cell r="B46">
            <v>1151362.5060870789</v>
          </cell>
          <cell r="C46">
            <v>1148843.8456186319</v>
          </cell>
          <cell r="D46">
            <v>1325.8269282528281</v>
          </cell>
        </row>
        <row r="47">
          <cell r="A47">
            <v>43</v>
          </cell>
          <cell r="B47">
            <v>1151319.0600961938</v>
          </cell>
          <cell r="C47">
            <v>1148757.06547595</v>
          </cell>
          <cell r="D47">
            <v>1327.1651043106815</v>
          </cell>
        </row>
        <row r="48">
          <cell r="A48">
            <v>201</v>
          </cell>
          <cell r="B48">
            <v>1151306.0505700782</v>
          </cell>
          <cell r="C48">
            <v>1148730.2268973694</v>
          </cell>
          <cell r="D48">
            <v>1326.8987382930391</v>
          </cell>
        </row>
        <row r="49">
          <cell r="A49">
            <v>202</v>
          </cell>
          <cell r="B49">
            <v>1151291.5048365991</v>
          </cell>
          <cell r="C49">
            <v>1148699.8068667436</v>
          </cell>
          <cell r="D49">
            <v>1327.2316327608828</v>
          </cell>
        </row>
        <row r="50">
          <cell r="A50">
            <v>101</v>
          </cell>
          <cell r="B50">
            <v>1151287.5231146077</v>
          </cell>
          <cell r="C50">
            <v>1148687.6168845526</v>
          </cell>
          <cell r="D50">
            <v>1327.186592928904</v>
          </cell>
        </row>
        <row r="51">
          <cell r="A51">
            <v>203</v>
          </cell>
          <cell r="B51">
            <v>1151295.1759405355</v>
          </cell>
          <cell r="C51">
            <v>1148681.4858961669</v>
          </cell>
          <cell r="D51">
            <v>1326.326359215012</v>
          </cell>
        </row>
        <row r="52">
          <cell r="A52">
            <v>220</v>
          </cell>
          <cell r="B52">
            <v>1151270.5096259217</v>
          </cell>
          <cell r="C52">
            <v>1148658.0921981109</v>
          </cell>
          <cell r="D52">
            <v>1327.4960653935275</v>
          </cell>
        </row>
        <row r="53">
          <cell r="A53" t="str">
            <v>90A</v>
          </cell>
          <cell r="B53">
            <v>1151205.5256082765</v>
          </cell>
          <cell r="C53">
            <v>1148680.0092459517</v>
          </cell>
          <cell r="D53">
            <v>1331.4873214339698</v>
          </cell>
        </row>
        <row r="54">
          <cell r="A54">
            <v>78</v>
          </cell>
          <cell r="B54">
            <v>1151193.3010028289</v>
          </cell>
          <cell r="C54">
            <v>1148709.6458514908</v>
          </cell>
          <cell r="D54">
            <v>1332.549325612345</v>
          </cell>
        </row>
        <row r="55">
          <cell r="A55">
            <v>77</v>
          </cell>
          <cell r="B55">
            <v>1151183.7264971512</v>
          </cell>
          <cell r="C55">
            <v>1148687.4281196315</v>
          </cell>
          <cell r="D55">
            <v>1330.2644562821579</v>
          </cell>
        </row>
        <row r="56">
          <cell r="A56">
            <v>76</v>
          </cell>
          <cell r="B56">
            <v>1151171.9710216476</v>
          </cell>
          <cell r="C56">
            <v>1148665.7884250814</v>
          </cell>
          <cell r="D56">
            <v>1327.3333999184038</v>
          </cell>
        </row>
        <row r="57">
          <cell r="A57">
            <v>75</v>
          </cell>
          <cell r="B57">
            <v>1151154.3929999999</v>
          </cell>
          <cell r="C57">
            <v>1148622.8535</v>
          </cell>
          <cell r="D57">
            <v>1324.5662872811001</v>
          </cell>
        </row>
        <row r="58">
          <cell r="A58">
            <v>72</v>
          </cell>
          <cell r="B58">
            <v>1151130.97</v>
          </cell>
          <cell r="C58">
            <v>1148579.1089999999</v>
          </cell>
          <cell r="D58">
            <v>1321.4099999999999</v>
          </cell>
        </row>
        <row r="59">
          <cell r="A59">
            <v>73</v>
          </cell>
          <cell r="B59">
            <v>1151126.4038159726</v>
          </cell>
          <cell r="C59">
            <v>1148569.2673538057</v>
          </cell>
          <cell r="D59">
            <v>1322.0645776328436</v>
          </cell>
        </row>
        <row r="60">
          <cell r="A60">
            <v>217</v>
          </cell>
          <cell r="B60">
            <v>1151178.566254305</v>
          </cell>
          <cell r="C60">
            <v>1148538.4247280378</v>
          </cell>
          <cell r="D60">
            <v>1318.6581713835806</v>
          </cell>
        </row>
        <row r="61">
          <cell r="A61">
            <v>218</v>
          </cell>
          <cell r="B61">
            <v>1151197.6262841185</v>
          </cell>
          <cell r="C61">
            <v>1148550.0481416783</v>
          </cell>
          <cell r="D61">
            <v>1315.4846485457178</v>
          </cell>
        </row>
        <row r="62">
          <cell r="A62">
            <v>219</v>
          </cell>
          <cell r="B62">
            <v>1151201.707688818</v>
          </cell>
          <cell r="C62">
            <v>1148569.3253559452</v>
          </cell>
          <cell r="D62">
            <v>1317.8323720695976</v>
          </cell>
        </row>
        <row r="63">
          <cell r="A63">
            <v>216</v>
          </cell>
          <cell r="B63">
            <v>1151225.4132518293</v>
          </cell>
          <cell r="C63">
            <v>1148518.8593837544</v>
          </cell>
          <cell r="D63">
            <v>1311.3504917518001</v>
          </cell>
        </row>
        <row r="64">
          <cell r="A64">
            <v>255</v>
          </cell>
          <cell r="B64">
            <v>1151263.3914242866</v>
          </cell>
          <cell r="C64">
            <v>1148558.6377487867</v>
          </cell>
          <cell r="D64">
            <v>1317.4920775248022</v>
          </cell>
        </row>
        <row r="65">
          <cell r="A65">
            <v>210</v>
          </cell>
          <cell r="B65">
            <v>1151253.0524313932</v>
          </cell>
          <cell r="C65">
            <v>1148469.4865884893</v>
          </cell>
          <cell r="D65">
            <v>1309.4642647962642</v>
          </cell>
        </row>
        <row r="66">
          <cell r="A66" t="str">
            <v>71A</v>
          </cell>
          <cell r="B66">
            <v>1151115.7847693965</v>
          </cell>
          <cell r="C66">
            <v>1148643.0807847043</v>
          </cell>
          <cell r="D66">
            <v>1329.3308903994437</v>
          </cell>
        </row>
        <row r="67">
          <cell r="A67" t="str">
            <v>81A</v>
          </cell>
          <cell r="B67">
            <v>1151134.6047570049</v>
          </cell>
          <cell r="C67">
            <v>1148679.6123421285</v>
          </cell>
          <cell r="D67">
            <v>1329.3625978967411</v>
          </cell>
        </row>
        <row r="68">
          <cell r="A68" t="str">
            <v>85A</v>
          </cell>
          <cell r="B68">
            <v>1151081.0796274815</v>
          </cell>
          <cell r="C68">
            <v>1148661.9458679473</v>
          </cell>
          <cell r="D68">
            <v>1331.6305219397461</v>
          </cell>
        </row>
        <row r="69">
          <cell r="A69">
            <v>71</v>
          </cell>
          <cell r="B69">
            <v>1151094.1446617951</v>
          </cell>
          <cell r="C69">
            <v>1148602.6102189976</v>
          </cell>
          <cell r="D69">
            <v>1323.4890927616343</v>
          </cell>
        </row>
        <row r="70">
          <cell r="A70">
            <v>80</v>
          </cell>
          <cell r="B70">
            <v>1151160.9790000001</v>
          </cell>
          <cell r="C70">
            <v>1148700.5789999999</v>
          </cell>
          <cell r="D70">
            <v>1330.875</v>
          </cell>
        </row>
        <row r="71">
          <cell r="A71" t="str">
            <v>CJ82</v>
          </cell>
          <cell r="B71">
            <v>1151098.8674388544</v>
          </cell>
          <cell r="C71">
            <v>1148693.6913246096</v>
          </cell>
          <cell r="D71">
            <v>1332.5423001778324</v>
          </cell>
        </row>
        <row r="72">
          <cell r="A72" t="str">
            <v>82A</v>
          </cell>
          <cell r="B72">
            <v>1151104.8940819514</v>
          </cell>
          <cell r="C72">
            <v>1148701.5600514568</v>
          </cell>
          <cell r="D72">
            <v>1332.9722430336058</v>
          </cell>
        </row>
        <row r="73">
          <cell r="A73">
            <v>82</v>
          </cell>
          <cell r="B73">
            <v>1151096.3098258215</v>
          </cell>
          <cell r="C73">
            <v>1148708.8202834898</v>
          </cell>
          <cell r="D73">
            <v>1335.1402251249597</v>
          </cell>
        </row>
        <row r="74">
          <cell r="A74">
            <v>86</v>
          </cell>
          <cell r="B74">
            <v>1151059.6074372241</v>
          </cell>
          <cell r="C74">
            <v>1148623.1146933264</v>
          </cell>
          <cell r="D74">
            <v>1326.7679140245484</v>
          </cell>
        </row>
        <row r="75">
          <cell r="A75">
            <v>60</v>
          </cell>
          <cell r="B75">
            <v>1151089.8337173536</v>
          </cell>
          <cell r="C75">
            <v>1148891.466866859</v>
          </cell>
          <cell r="D75">
            <v>1344.5141339051972</v>
          </cell>
        </row>
        <row r="76">
          <cell r="A76" t="str">
            <v>65A</v>
          </cell>
          <cell r="B76">
            <v>1150910.3674630995</v>
          </cell>
          <cell r="C76">
            <v>1148670.3746952615</v>
          </cell>
          <cell r="D76">
            <v>1352.2210540071512</v>
          </cell>
        </row>
        <row r="77">
          <cell r="A77">
            <v>89</v>
          </cell>
          <cell r="B77">
            <v>1150956.6385658588</v>
          </cell>
          <cell r="C77">
            <v>1148644.124177306</v>
          </cell>
          <cell r="D77">
            <v>1341.4260925688691</v>
          </cell>
        </row>
        <row r="78">
          <cell r="A78">
            <v>88</v>
          </cell>
          <cell r="B78">
            <v>1150986.5638188175</v>
          </cell>
          <cell r="C78">
            <v>1148627.2744050543</v>
          </cell>
          <cell r="D78">
            <v>1337.2411111924082</v>
          </cell>
        </row>
        <row r="79">
          <cell r="A79">
            <v>87</v>
          </cell>
          <cell r="B79">
            <v>1151005.7955992499</v>
          </cell>
          <cell r="C79">
            <v>1148616.2576566741</v>
          </cell>
          <cell r="D79">
            <v>1335.3309915064096</v>
          </cell>
        </row>
        <row r="80">
          <cell r="A80">
            <v>69</v>
          </cell>
          <cell r="B80">
            <v>1151051.1265362487</v>
          </cell>
          <cell r="C80">
            <v>1148590.7856498142</v>
          </cell>
          <cell r="D80">
            <v>1329.1370475617673</v>
          </cell>
        </row>
        <row r="81">
          <cell r="A81">
            <v>221</v>
          </cell>
          <cell r="B81">
            <v>1151057.9711334559</v>
          </cell>
          <cell r="C81">
            <v>1148591.5972339832</v>
          </cell>
          <cell r="D81">
            <v>1328.1412066707021</v>
          </cell>
        </row>
        <row r="82">
          <cell r="A82">
            <v>68</v>
          </cell>
          <cell r="B82">
            <v>1151019.1672265283</v>
          </cell>
          <cell r="C82">
            <v>1148555.9637174096</v>
          </cell>
          <cell r="D82">
            <v>1336.0259859318408</v>
          </cell>
        </row>
        <row r="83">
          <cell r="A83" t="str">
            <v>66A</v>
          </cell>
          <cell r="B83">
            <v>1150915.667171842</v>
          </cell>
          <cell r="C83">
            <v>1148614.4148936991</v>
          </cell>
          <cell r="D83">
            <v>1345.7218434281829</v>
          </cell>
        </row>
        <row r="84">
          <cell r="A84">
            <v>67</v>
          </cell>
          <cell r="B84">
            <v>1150963.9882180393</v>
          </cell>
          <cell r="C84">
            <v>1148587.0227221956</v>
          </cell>
          <cell r="D84">
            <v>1339.2588025398586</v>
          </cell>
        </row>
        <row r="85">
          <cell r="A85" t="str">
            <v>83A</v>
          </cell>
          <cell r="B85">
            <v>1151064.8688418614</v>
          </cell>
          <cell r="C85">
            <v>1148733.2802838814</v>
          </cell>
          <cell r="D85">
            <v>1337.6737873533291</v>
          </cell>
        </row>
        <row r="86">
          <cell r="A86" t="str">
            <v>CJ255A</v>
          </cell>
          <cell r="B86">
            <v>1151289.3906379179</v>
          </cell>
          <cell r="C86">
            <v>1148546.1454071826</v>
          </cell>
          <cell r="D86">
            <v>1314.2304446415558</v>
          </cell>
        </row>
        <row r="87">
          <cell r="A87">
            <v>94</v>
          </cell>
          <cell r="B87">
            <v>1151307.2140522101</v>
          </cell>
          <cell r="C87">
            <v>1148537.708765619</v>
          </cell>
          <cell r="D87">
            <v>1312.7186235219669</v>
          </cell>
        </row>
        <row r="88">
          <cell r="A88">
            <v>95</v>
          </cell>
          <cell r="B88">
            <v>1151300.5448576743</v>
          </cell>
          <cell r="C88">
            <v>1148513.9450757906</v>
          </cell>
          <cell r="D88">
            <v>1310.4832733552007</v>
          </cell>
        </row>
        <row r="89">
          <cell r="A89">
            <v>97</v>
          </cell>
          <cell r="B89">
            <v>1151337.0226764609</v>
          </cell>
          <cell r="C89">
            <v>1148523.4106147108</v>
          </cell>
          <cell r="D89">
            <v>1313.5221565279505</v>
          </cell>
        </row>
        <row r="90">
          <cell r="A90">
            <v>96</v>
          </cell>
          <cell r="B90">
            <v>1151300.0347343453</v>
          </cell>
          <cell r="C90">
            <v>1148462.3872225289</v>
          </cell>
          <cell r="D90">
            <v>1302.3014133697372</v>
          </cell>
        </row>
        <row r="91">
          <cell r="A91">
            <v>212</v>
          </cell>
          <cell r="B91">
            <v>1151287.9100306323</v>
          </cell>
          <cell r="C91">
            <v>1148469.7869794625</v>
          </cell>
          <cell r="D91">
            <v>1305.3429140125509</v>
          </cell>
        </row>
        <row r="92">
          <cell r="A92">
            <v>211</v>
          </cell>
          <cell r="B92">
            <v>1151265.5858893902</v>
          </cell>
          <cell r="C92">
            <v>1148465.0850551676</v>
          </cell>
          <cell r="D92">
            <v>1307.0761491930057</v>
          </cell>
        </row>
        <row r="93">
          <cell r="A93">
            <v>208</v>
          </cell>
          <cell r="B93">
            <v>1151300.2584034256</v>
          </cell>
          <cell r="C93">
            <v>1148431.0280963366</v>
          </cell>
          <cell r="D93">
            <v>1300.2225257221767</v>
          </cell>
        </row>
        <row r="94">
          <cell r="A94">
            <v>258</v>
          </cell>
          <cell r="B94">
            <v>1151322.7914154534</v>
          </cell>
          <cell r="C94">
            <v>1148429.112632731</v>
          </cell>
          <cell r="D94">
            <v>1298.8508433945678</v>
          </cell>
        </row>
        <row r="95">
          <cell r="A95" t="str">
            <v>199A</v>
          </cell>
          <cell r="B95">
            <v>1151335.9800982745</v>
          </cell>
          <cell r="C95">
            <v>1148454.7091627161</v>
          </cell>
          <cell r="D95">
            <v>1303.0695447414712</v>
          </cell>
        </row>
        <row r="96">
          <cell r="A96">
            <v>214</v>
          </cell>
          <cell r="B96">
            <v>1151215.7298571668</v>
          </cell>
          <cell r="C96">
            <v>1148434.0182640983</v>
          </cell>
          <cell r="D96">
            <v>1305.9575144399801</v>
          </cell>
        </row>
        <row r="97">
          <cell r="A97">
            <v>215</v>
          </cell>
          <cell r="B97">
            <v>1151199.2545212787</v>
          </cell>
          <cell r="C97">
            <v>1148437.7634232449</v>
          </cell>
          <cell r="D97">
            <v>1306.8379854058219</v>
          </cell>
        </row>
        <row r="98">
          <cell r="A98">
            <v>213</v>
          </cell>
          <cell r="B98">
            <v>1151214.6013504101</v>
          </cell>
          <cell r="C98">
            <v>1148413.5498197312</v>
          </cell>
          <cell r="D98">
            <v>1305.4897574204765</v>
          </cell>
        </row>
        <row r="99">
          <cell r="A99">
            <v>222</v>
          </cell>
          <cell r="B99">
            <v>1151293.2270181987</v>
          </cell>
          <cell r="C99">
            <v>1148398.5560882036</v>
          </cell>
          <cell r="D99">
            <v>1299.3190243042732</v>
          </cell>
        </row>
        <row r="100">
          <cell r="A100">
            <v>223</v>
          </cell>
          <cell r="B100">
            <v>1151289.8015691093</v>
          </cell>
          <cell r="C100">
            <v>1148379.6932618781</v>
          </cell>
          <cell r="D100">
            <v>1297.0834867449441</v>
          </cell>
        </row>
        <row r="101">
          <cell r="A101">
            <v>209</v>
          </cell>
          <cell r="B101">
            <v>1151251.3120192047</v>
          </cell>
          <cell r="C101">
            <v>1148406.8167570189</v>
          </cell>
          <cell r="D101">
            <v>1302.756660711025</v>
          </cell>
        </row>
        <row r="102">
          <cell r="A102">
            <v>224</v>
          </cell>
          <cell r="B102">
            <v>1151263.8030685855</v>
          </cell>
          <cell r="C102">
            <v>1148353.6907741309</v>
          </cell>
          <cell r="D102">
            <v>1288.1668665317982</v>
          </cell>
        </row>
        <row r="103">
          <cell r="A103" t="str">
            <v>109A</v>
          </cell>
          <cell r="B103">
            <v>1151350.5749764103</v>
          </cell>
          <cell r="C103">
            <v>1148351.1358806477</v>
          </cell>
          <cell r="D103">
            <v>1288.2990619103534</v>
          </cell>
        </row>
        <row r="104">
          <cell r="A104">
            <v>127</v>
          </cell>
          <cell r="B104">
            <v>1151345.9727719096</v>
          </cell>
          <cell r="C104">
            <v>1148343.2091738614</v>
          </cell>
          <cell r="D104">
            <v>1288.7707662308019</v>
          </cell>
        </row>
        <row r="105">
          <cell r="A105">
            <v>109</v>
          </cell>
          <cell r="B105">
            <v>1151358.7836018377</v>
          </cell>
          <cell r="C105">
            <v>1148366.3229974753</v>
          </cell>
          <cell r="D105">
            <v>1293.2323060288252</v>
          </cell>
        </row>
        <row r="106">
          <cell r="A106">
            <v>108</v>
          </cell>
          <cell r="B106">
            <v>1151376.3081463464</v>
          </cell>
          <cell r="C106">
            <v>1148400.2911714204</v>
          </cell>
          <cell r="D106">
            <v>1295.4229628686064</v>
          </cell>
        </row>
        <row r="107">
          <cell r="A107">
            <v>110</v>
          </cell>
          <cell r="B107">
            <v>1151383.3012392889</v>
          </cell>
          <cell r="C107">
            <v>1148413.7773120357</v>
          </cell>
          <cell r="D107">
            <v>1296.9497589426319</v>
          </cell>
        </row>
        <row r="108">
          <cell r="A108">
            <v>111</v>
          </cell>
          <cell r="B108">
            <v>1151396.1051370283</v>
          </cell>
          <cell r="C108">
            <v>1148439.4646963559</v>
          </cell>
          <cell r="D108">
            <v>1300.6505512958956</v>
          </cell>
        </row>
        <row r="109">
          <cell r="A109">
            <v>107</v>
          </cell>
          <cell r="B109">
            <v>1151344.5786752105</v>
          </cell>
          <cell r="C109">
            <v>1148417.7437091372</v>
          </cell>
          <cell r="D109">
            <v>1297.020100693039</v>
          </cell>
        </row>
        <row r="110">
          <cell r="A110" t="str">
            <v>CJ258A</v>
          </cell>
          <cell r="B110">
            <v>1151317.9157587145</v>
          </cell>
          <cell r="C110">
            <v>1148431.6801892288</v>
          </cell>
          <cell r="D110">
            <v>1297.5892890776004</v>
          </cell>
        </row>
        <row r="111">
          <cell r="A111">
            <v>106</v>
          </cell>
          <cell r="B111">
            <v>1151359.2487616511</v>
          </cell>
          <cell r="C111">
            <v>1148444.186925584</v>
          </cell>
          <cell r="D111">
            <v>1302.2642481393373</v>
          </cell>
        </row>
        <row r="112">
          <cell r="A112" t="str">
            <v>198A</v>
          </cell>
          <cell r="B112">
            <v>1151347.5770615209</v>
          </cell>
          <cell r="C112">
            <v>1148478.3496585821</v>
          </cell>
          <cell r="D112">
            <v>1308.7820517120713</v>
          </cell>
        </row>
        <row r="113">
          <cell r="A113">
            <v>103</v>
          </cell>
          <cell r="B113">
            <v>1151371.0219404057</v>
          </cell>
          <cell r="C113">
            <v>1148466.6404584947</v>
          </cell>
          <cell r="D113">
            <v>1309.3655523770256</v>
          </cell>
        </row>
        <row r="114">
          <cell r="A114" t="str">
            <v>102A</v>
          </cell>
          <cell r="B114">
            <v>1151385.1344992181</v>
          </cell>
          <cell r="C114">
            <v>1148493.6665940909</v>
          </cell>
          <cell r="D114">
            <v>1313.2660030446293</v>
          </cell>
        </row>
        <row r="115">
          <cell r="A115">
            <v>112</v>
          </cell>
          <cell r="B115">
            <v>1151401.7817717334</v>
          </cell>
          <cell r="C115">
            <v>1148451.0763649635</v>
          </cell>
          <cell r="D115">
            <v>1307.9407569881878</v>
          </cell>
        </row>
        <row r="116">
          <cell r="A116">
            <v>113</v>
          </cell>
          <cell r="B116">
            <v>1151415.3122686637</v>
          </cell>
          <cell r="C116">
            <v>1148444.5890040009</v>
          </cell>
          <cell r="D116">
            <v>1306.8670312382569</v>
          </cell>
        </row>
        <row r="117">
          <cell r="A117" t="str">
            <v>115A</v>
          </cell>
          <cell r="B117">
            <v>1151410.3963137451</v>
          </cell>
          <cell r="C117">
            <v>1148466.0298068037</v>
          </cell>
          <cell r="D117">
            <v>1311.3427838448649</v>
          </cell>
        </row>
        <row r="118">
          <cell r="A118">
            <v>114</v>
          </cell>
          <cell r="B118">
            <v>1151440.6347005439</v>
          </cell>
          <cell r="C118">
            <v>1148432.6353457626</v>
          </cell>
          <cell r="D118">
            <v>1300.1617456570011</v>
          </cell>
        </row>
        <row r="119">
          <cell r="A119">
            <v>124</v>
          </cell>
          <cell r="B119">
            <v>1151464.0525576628</v>
          </cell>
          <cell r="C119">
            <v>1148419.1945182038</v>
          </cell>
          <cell r="D119">
            <v>1298.958678849782</v>
          </cell>
        </row>
        <row r="120">
          <cell r="A120">
            <v>121</v>
          </cell>
          <cell r="B120">
            <v>1151478.3342596083</v>
          </cell>
          <cell r="C120">
            <v>1148412.4030216595</v>
          </cell>
          <cell r="D120">
            <v>1298.4950243258345</v>
          </cell>
        </row>
        <row r="121">
          <cell r="A121">
            <v>119</v>
          </cell>
          <cell r="B121">
            <v>1151485.9448184995</v>
          </cell>
          <cell r="C121">
            <v>1148423.8537589884</v>
          </cell>
          <cell r="D121">
            <v>1303.5849867079228</v>
          </cell>
        </row>
        <row r="122">
          <cell r="A122">
            <v>117</v>
          </cell>
          <cell r="B122">
            <v>1151498.614300899</v>
          </cell>
          <cell r="C122">
            <v>1148444.2397754469</v>
          </cell>
          <cell r="D122">
            <v>1312.1639960042041</v>
          </cell>
        </row>
        <row r="123">
          <cell r="A123" t="str">
            <v>123A</v>
          </cell>
          <cell r="B123">
            <v>1151470.7103294651</v>
          </cell>
          <cell r="C123">
            <v>1148433.5867809425</v>
          </cell>
          <cell r="D123">
            <v>1304.9833632846758</v>
          </cell>
        </row>
        <row r="124">
          <cell r="A124" t="str">
            <v>120A</v>
          </cell>
          <cell r="B124">
            <v>1151508.0069764671</v>
          </cell>
          <cell r="C124">
            <v>1148415.0739128552</v>
          </cell>
          <cell r="D124">
            <v>1304.5094514925945</v>
          </cell>
        </row>
        <row r="125">
          <cell r="A125" t="str">
            <v>116A</v>
          </cell>
          <cell r="B125">
            <v>1151503.0479586003</v>
          </cell>
          <cell r="C125">
            <v>1148453.8296252391</v>
          </cell>
          <cell r="D125">
            <v>1314.2263441250027</v>
          </cell>
        </row>
        <row r="126">
          <cell r="A126" t="str">
            <v>206A</v>
          </cell>
          <cell r="B126">
            <v>1151520.7449253076</v>
          </cell>
          <cell r="C126">
            <v>1148482.0796149017</v>
          </cell>
          <cell r="D126">
            <v>1314.3048100199667</v>
          </cell>
        </row>
        <row r="127">
          <cell r="A127" t="str">
            <v>100A</v>
          </cell>
          <cell r="B127">
            <v>1151480.3387320719</v>
          </cell>
          <cell r="C127">
            <v>1148460.2206529654</v>
          </cell>
          <cell r="D127">
            <v>1315.1279897351155</v>
          </cell>
        </row>
        <row r="128">
          <cell r="A128">
            <v>99</v>
          </cell>
          <cell r="B128">
            <v>1151463.7301824719</v>
          </cell>
          <cell r="C128">
            <v>1148463.5012284881</v>
          </cell>
          <cell r="D128">
            <v>1315.3612812717051</v>
          </cell>
        </row>
        <row r="129">
          <cell r="A129">
            <v>257</v>
          </cell>
          <cell r="B129">
            <v>1151451.3311325207</v>
          </cell>
          <cell r="C129">
            <v>1148465.7102600492</v>
          </cell>
          <cell r="D129">
            <v>1315.2956167202751</v>
          </cell>
        </row>
        <row r="130">
          <cell r="A130" t="str">
            <v>132A</v>
          </cell>
          <cell r="B130">
            <v>1151475.4499637992</v>
          </cell>
          <cell r="C130">
            <v>1148489.1597703458</v>
          </cell>
          <cell r="D130">
            <v>1315.8468132233825</v>
          </cell>
        </row>
        <row r="131">
          <cell r="A131">
            <v>133</v>
          </cell>
          <cell r="B131">
            <v>1151482.1320670084</v>
          </cell>
          <cell r="C131">
            <v>1148501.0944339542</v>
          </cell>
          <cell r="D131">
            <v>1315.4110941453359</v>
          </cell>
        </row>
        <row r="132">
          <cell r="A132">
            <v>134</v>
          </cell>
          <cell r="B132">
            <v>1151494.9637163733</v>
          </cell>
          <cell r="C132">
            <v>1148528.7082881788</v>
          </cell>
          <cell r="D132">
            <v>1309.4713374904118</v>
          </cell>
        </row>
        <row r="133">
          <cell r="A133">
            <v>207</v>
          </cell>
          <cell r="B133">
            <v>1151534.2122798064</v>
          </cell>
          <cell r="C133">
            <v>1148505.9462440058</v>
          </cell>
          <cell r="D133">
            <v>1309.2082056892</v>
          </cell>
        </row>
        <row r="134">
          <cell r="A134">
            <v>225</v>
          </cell>
          <cell r="B134">
            <v>1151544.2189052566</v>
          </cell>
          <cell r="C134">
            <v>1148522.9898523013</v>
          </cell>
          <cell r="D134">
            <v>1307.577024919718</v>
          </cell>
        </row>
        <row r="135">
          <cell r="A135">
            <v>135</v>
          </cell>
          <cell r="B135">
            <v>1151587.8380908461</v>
          </cell>
          <cell r="C135">
            <v>1148520.9463409174</v>
          </cell>
          <cell r="D135">
            <v>1305.5979694758857</v>
          </cell>
        </row>
        <row r="136">
          <cell r="A136" t="str">
            <v>136A</v>
          </cell>
          <cell r="B136">
            <v>1151591.3367941668</v>
          </cell>
          <cell r="C136">
            <v>1148491.9465252652</v>
          </cell>
          <cell r="D136">
            <v>1304.4400277305463</v>
          </cell>
        </row>
        <row r="137">
          <cell r="A137">
            <v>137</v>
          </cell>
          <cell r="B137">
            <v>1151605.5814868223</v>
          </cell>
          <cell r="C137">
            <v>1148444.8257483365</v>
          </cell>
          <cell r="D137">
            <v>1301.9714640026814</v>
          </cell>
        </row>
        <row r="138">
          <cell r="A138">
            <v>138</v>
          </cell>
          <cell r="B138">
            <v>1151637.768752553</v>
          </cell>
          <cell r="C138">
            <v>1148432.8575422668</v>
          </cell>
          <cell r="D138">
            <v>1297.3916379841623</v>
          </cell>
        </row>
        <row r="139">
          <cell r="A139" t="str">
            <v>127A</v>
          </cell>
          <cell r="B139">
            <v>1151385.3927212588</v>
          </cell>
          <cell r="C139">
            <v>1148359.7927949391</v>
          </cell>
          <cell r="D139">
            <v>1290.2222535029268</v>
          </cell>
        </row>
        <row r="140">
          <cell r="A140">
            <v>126</v>
          </cell>
          <cell r="B140">
            <v>1151414.8837812282</v>
          </cell>
          <cell r="C140">
            <v>1148400.5020879623</v>
          </cell>
          <cell r="D140">
            <v>1291.8292305938437</v>
          </cell>
        </row>
        <row r="141">
          <cell r="A141">
            <v>125</v>
          </cell>
          <cell r="B141">
            <v>1151440.1051050071</v>
          </cell>
          <cell r="C141">
            <v>1148409.5014712089</v>
          </cell>
          <cell r="D141">
            <v>1292.9641691271713</v>
          </cell>
        </row>
        <row r="142">
          <cell r="A142">
            <v>122</v>
          </cell>
          <cell r="B142">
            <v>1151474.0752014269</v>
          </cell>
          <cell r="C142">
            <v>1148401.5379401804</v>
          </cell>
          <cell r="D142">
            <v>1294.743711612723</v>
          </cell>
        </row>
        <row r="143">
          <cell r="A143">
            <v>149</v>
          </cell>
          <cell r="B143">
            <v>1151624.4839654816</v>
          </cell>
          <cell r="C143">
            <v>1148501.7988710173</v>
          </cell>
          <cell r="D143">
            <v>1301.7611921558635</v>
          </cell>
        </row>
        <row r="144">
          <cell r="A144">
            <v>228</v>
          </cell>
          <cell r="B144">
            <v>1151624.8877206733</v>
          </cell>
          <cell r="C144">
            <v>1148505.6375813922</v>
          </cell>
          <cell r="D144">
            <v>1302.8683490544372</v>
          </cell>
        </row>
        <row r="145">
          <cell r="A145" t="str">
            <v>148A</v>
          </cell>
          <cell r="B145">
            <v>1151653.2046524277</v>
          </cell>
          <cell r="C145">
            <v>1148502.8370989144</v>
          </cell>
          <cell r="D145">
            <v>1298.914536326045</v>
          </cell>
        </row>
        <row r="146">
          <cell r="A146">
            <v>229</v>
          </cell>
          <cell r="B146">
            <v>1151664.2785599497</v>
          </cell>
          <cell r="C146">
            <v>1148522.3412683492</v>
          </cell>
          <cell r="D146">
            <v>1301.0367201660201</v>
          </cell>
        </row>
        <row r="147">
          <cell r="A147">
            <v>230</v>
          </cell>
          <cell r="B147">
            <v>1151675.7223935623</v>
          </cell>
          <cell r="C147">
            <v>1148495.9961664691</v>
          </cell>
          <cell r="D147">
            <v>1295.8856116365566</v>
          </cell>
        </row>
        <row r="148">
          <cell r="A148" t="str">
            <v>231A</v>
          </cell>
          <cell r="B148">
            <v>1151680.023434703</v>
          </cell>
          <cell r="C148">
            <v>1148514.2231066164</v>
          </cell>
          <cell r="D148">
            <v>1298.6584179040512</v>
          </cell>
        </row>
        <row r="149">
          <cell r="A149" t="str">
            <v>147A</v>
          </cell>
          <cell r="B149">
            <v>1151653.0152039144</v>
          </cell>
          <cell r="C149">
            <v>1148480.1587234747</v>
          </cell>
          <cell r="D149">
            <v>1296.7275712511791</v>
          </cell>
        </row>
        <row r="150">
          <cell r="A150">
            <v>146</v>
          </cell>
          <cell r="B150">
            <v>1151682.9361511236</v>
          </cell>
          <cell r="C150">
            <v>1148456.8045148647</v>
          </cell>
          <cell r="D150">
            <v>1294.6960796987139</v>
          </cell>
        </row>
        <row r="151">
          <cell r="A151">
            <v>142</v>
          </cell>
          <cell r="B151">
            <v>1151695.2700344168</v>
          </cell>
          <cell r="C151">
            <v>1148445.7641160849</v>
          </cell>
          <cell r="D151">
            <v>1295.821361664197</v>
          </cell>
        </row>
        <row r="152">
          <cell r="A152" t="str">
            <v>CJ141A</v>
          </cell>
          <cell r="B152">
            <v>1151690.6094892342</v>
          </cell>
          <cell r="C152">
            <v>1148439.1554891909</v>
          </cell>
          <cell r="D152">
            <v>1294.893652310968</v>
          </cell>
        </row>
        <row r="153">
          <cell r="A153">
            <v>235</v>
          </cell>
          <cell r="B153">
            <v>1151676.8193800512</v>
          </cell>
          <cell r="C153">
            <v>1148424.1570009398</v>
          </cell>
          <cell r="D153">
            <v>1293.0584641332923</v>
          </cell>
        </row>
        <row r="154">
          <cell r="A154">
            <v>139</v>
          </cell>
          <cell r="B154">
            <v>1151664.5322342762</v>
          </cell>
          <cell r="C154">
            <v>1148422.4142870966</v>
          </cell>
          <cell r="D154">
            <v>1293.9551380946809</v>
          </cell>
        </row>
        <row r="155">
          <cell r="A155" t="str">
            <v>CJ256</v>
          </cell>
          <cell r="B155">
            <v>1151686.746580451</v>
          </cell>
          <cell r="C155">
            <v>1148388.6227055688</v>
          </cell>
          <cell r="D155">
            <v>1291.7368526335797</v>
          </cell>
        </row>
        <row r="156">
          <cell r="A156">
            <v>145</v>
          </cell>
          <cell r="B156">
            <v>1151685.1425335112</v>
          </cell>
          <cell r="C156">
            <v>1148492.9859339329</v>
          </cell>
          <cell r="D156">
            <v>1295.9938331071967</v>
          </cell>
        </row>
        <row r="157">
          <cell r="A157" t="str">
            <v>232A</v>
          </cell>
          <cell r="B157">
            <v>1151691.4196471837</v>
          </cell>
          <cell r="C157">
            <v>1148490.1336055622</v>
          </cell>
          <cell r="D157">
            <v>1296.7190714519945</v>
          </cell>
        </row>
        <row r="158">
          <cell r="A158" t="str">
            <v>144A</v>
          </cell>
          <cell r="B158">
            <v>1151712.342578742</v>
          </cell>
          <cell r="C158">
            <v>1148470.2393546056</v>
          </cell>
          <cell r="D158">
            <v>1299.1999757155115</v>
          </cell>
        </row>
        <row r="159">
          <cell r="A159">
            <v>234</v>
          </cell>
          <cell r="B159">
            <v>1151706.4407801947</v>
          </cell>
          <cell r="C159">
            <v>1148460.2787127879</v>
          </cell>
          <cell r="D159">
            <v>1297.9370983492217</v>
          </cell>
        </row>
        <row r="160">
          <cell r="A160" t="str">
            <v>143A</v>
          </cell>
          <cell r="B160">
            <v>1151736.2513843256</v>
          </cell>
          <cell r="C160">
            <v>1148445.6688523318</v>
          </cell>
          <cell r="D160">
            <v>1297.593195157127</v>
          </cell>
        </row>
        <row r="161">
          <cell r="A161" t="str">
            <v>CJ163A</v>
          </cell>
          <cell r="B161">
            <v>1152070.5748179744</v>
          </cell>
          <cell r="C161">
            <v>1148462.4449594559</v>
          </cell>
          <cell r="D161">
            <v>1270.6485305990122</v>
          </cell>
        </row>
        <row r="162">
          <cell r="A162" t="str">
            <v>CJ163B</v>
          </cell>
          <cell r="B162">
            <v>1152004.0948621677</v>
          </cell>
          <cell r="C162">
            <v>1148432.8741743274</v>
          </cell>
          <cell r="D162">
            <v>1275.5991937978215</v>
          </cell>
        </row>
        <row r="163">
          <cell r="A163">
            <v>165</v>
          </cell>
          <cell r="B163">
            <v>1152109.4076463769</v>
          </cell>
          <cell r="C163">
            <v>1148453.1770689834</v>
          </cell>
          <cell r="D163">
            <v>1267.466288686112</v>
          </cell>
        </row>
        <row r="164">
          <cell r="A164">
            <v>166</v>
          </cell>
          <cell r="B164">
            <v>1152132.3998206609</v>
          </cell>
          <cell r="C164">
            <v>1148454.3966443366</v>
          </cell>
          <cell r="D164">
            <v>1266.5360222107365</v>
          </cell>
        </row>
        <row r="165">
          <cell r="A165" t="str">
            <v>167A</v>
          </cell>
          <cell r="B165">
            <v>1151664.7687773514</v>
          </cell>
          <cell r="C165">
            <v>1148690.6618326178</v>
          </cell>
          <cell r="D165">
            <v>1306.2571420662321</v>
          </cell>
        </row>
        <row r="166">
          <cell r="A166" t="str">
            <v>CJ167A</v>
          </cell>
          <cell r="B166">
            <v>1152176.5493058267</v>
          </cell>
          <cell r="C166">
            <v>1148490.1855542788</v>
          </cell>
          <cell r="D166">
            <v>1263.6301261978408</v>
          </cell>
        </row>
        <row r="167">
          <cell r="A167">
            <v>168</v>
          </cell>
          <cell r="B167">
            <v>1152191.4758070456</v>
          </cell>
          <cell r="C167">
            <v>1148495.8848738386</v>
          </cell>
          <cell r="D167">
            <v>1264.2301505404876</v>
          </cell>
        </row>
        <row r="168">
          <cell r="A168">
            <v>169</v>
          </cell>
          <cell r="B168">
            <v>1152246.75640887</v>
          </cell>
          <cell r="C168">
            <v>1148539.9075431216</v>
          </cell>
          <cell r="D168">
            <v>1262.5356648048482</v>
          </cell>
        </row>
        <row r="169">
          <cell r="A169">
            <v>170</v>
          </cell>
          <cell r="B169">
            <v>1152254.3482410305</v>
          </cell>
          <cell r="C169">
            <v>1148562.1490397665</v>
          </cell>
          <cell r="D169">
            <v>1263.1951492415278</v>
          </cell>
        </row>
        <row r="170">
          <cell r="A170" t="str">
            <v>170A</v>
          </cell>
          <cell r="B170">
            <v>1152262.3607000001</v>
          </cell>
          <cell r="C170">
            <v>1148577.8147</v>
          </cell>
          <cell r="D170">
            <v>1263.1500000000001</v>
          </cell>
        </row>
        <row r="171">
          <cell r="A171">
            <v>171</v>
          </cell>
          <cell r="B171">
            <v>1152267.8956928132</v>
          </cell>
          <cell r="C171">
            <v>1148594.1122654215</v>
          </cell>
          <cell r="D171">
            <v>1263.5353353902328</v>
          </cell>
        </row>
        <row r="172">
          <cell r="A172">
            <v>172</v>
          </cell>
          <cell r="B172">
            <v>1152254.529653755</v>
          </cell>
          <cell r="C172">
            <v>1148620.471783139</v>
          </cell>
          <cell r="D172">
            <v>1259.9233217632293</v>
          </cell>
        </row>
        <row r="173">
          <cell r="A173" t="str">
            <v>CJ237</v>
          </cell>
          <cell r="B173">
            <v>1152256.5485479529</v>
          </cell>
          <cell r="C173">
            <v>1148628.6533891368</v>
          </cell>
          <cell r="D173">
            <v>1258.0031348647287</v>
          </cell>
        </row>
        <row r="174">
          <cell r="A174">
            <v>238</v>
          </cell>
          <cell r="B174">
            <v>1152260.7799296789</v>
          </cell>
          <cell r="C174">
            <v>1148637.5589726602</v>
          </cell>
          <cell r="D174">
            <v>1254.2693924245682</v>
          </cell>
        </row>
        <row r="175">
          <cell r="A175">
            <v>91</v>
          </cell>
          <cell r="B175">
            <v>1151343.4541948179</v>
          </cell>
          <cell r="C175">
            <v>1148619.4584166277</v>
          </cell>
          <cell r="D175">
            <v>1318.0850879930347</v>
          </cell>
        </row>
        <row r="176">
          <cell r="A176">
            <v>93</v>
          </cell>
          <cell r="B176">
            <v>1151325.1265182265</v>
          </cell>
          <cell r="C176">
            <v>1148579.9417800684</v>
          </cell>
          <cell r="D176">
            <v>1314.246163505353</v>
          </cell>
        </row>
        <row r="177">
          <cell r="A177">
            <v>91</v>
          </cell>
          <cell r="B177">
            <v>1151322.5219395969</v>
          </cell>
          <cell r="C177">
            <v>1148574.6502080949</v>
          </cell>
          <cell r="D177">
            <v>1314.0347240076858</v>
          </cell>
        </row>
        <row r="178">
          <cell r="A178" t="str">
            <v>92A</v>
          </cell>
          <cell r="B178">
            <v>1151377.2913418191</v>
          </cell>
          <cell r="C178">
            <v>1148600.7424430395</v>
          </cell>
          <cell r="D178">
            <v>1317.2329623803266</v>
          </cell>
        </row>
        <row r="179">
          <cell r="A179" t="str">
            <v>41B</v>
          </cell>
          <cell r="B179">
            <v>1151358.7398618904</v>
          </cell>
          <cell r="C179">
            <v>1148650.0165236429</v>
          </cell>
          <cell r="D179">
            <v>1321.2114034832287</v>
          </cell>
        </row>
        <row r="180">
          <cell r="A180" t="str">
            <v>41A</v>
          </cell>
          <cell r="B180">
            <v>1151359.67994518</v>
          </cell>
          <cell r="C180">
            <v>1148649.5008634971</v>
          </cell>
          <cell r="D180">
            <v>1321.1754593532505</v>
          </cell>
        </row>
        <row r="181">
          <cell r="A181" t="str">
            <v>204A</v>
          </cell>
          <cell r="B181">
            <v>1151392.3974878741</v>
          </cell>
          <cell r="C181">
            <v>1148632.2673513102</v>
          </cell>
          <cell r="D181">
            <v>1320.364732134977</v>
          </cell>
        </row>
        <row r="182">
          <cell r="A182">
            <v>42</v>
          </cell>
          <cell r="B182">
            <v>1151397.68125501</v>
          </cell>
          <cell r="C182">
            <v>1148718.6774993767</v>
          </cell>
          <cell r="D182">
            <v>1319.7843539615856</v>
          </cell>
        </row>
        <row r="183">
          <cell r="A183">
            <v>39</v>
          </cell>
          <cell r="B183">
            <v>1151473.5466905967</v>
          </cell>
          <cell r="C183">
            <v>1148680.098696646</v>
          </cell>
          <cell r="D183">
            <v>1315.5629125978517</v>
          </cell>
        </row>
        <row r="184">
          <cell r="A184">
            <v>26</v>
          </cell>
          <cell r="B184">
            <v>1151445.1413710834</v>
          </cell>
          <cell r="C184">
            <v>1148802.5222360089</v>
          </cell>
          <cell r="D184">
            <v>1323.9094101391941</v>
          </cell>
        </row>
        <row r="185">
          <cell r="A185">
            <v>27</v>
          </cell>
          <cell r="B185">
            <v>1151473.7782665454</v>
          </cell>
          <cell r="C185">
            <v>1148851.0330315584</v>
          </cell>
          <cell r="D185">
            <v>1319.5441395170951</v>
          </cell>
        </row>
        <row r="186">
          <cell r="A186">
            <v>28</v>
          </cell>
          <cell r="B186">
            <v>1151581.0416493679</v>
          </cell>
          <cell r="C186">
            <v>1148793.9848268898</v>
          </cell>
          <cell r="D186">
            <v>1313.3777829905134</v>
          </cell>
        </row>
        <row r="187">
          <cell r="A187">
            <v>37</v>
          </cell>
          <cell r="B187">
            <v>1151540.6705123375</v>
          </cell>
          <cell r="C187">
            <v>1148712.5187230369</v>
          </cell>
          <cell r="D187">
            <v>1314.3936260527075</v>
          </cell>
        </row>
        <row r="188">
          <cell r="A188">
            <v>36</v>
          </cell>
          <cell r="B188">
            <v>1151557.2376936381</v>
          </cell>
          <cell r="C188">
            <v>1148746.6039187023</v>
          </cell>
          <cell r="D188">
            <v>1315.3135087345865</v>
          </cell>
        </row>
        <row r="189">
          <cell r="A189" t="str">
            <v>38B</v>
          </cell>
          <cell r="B189">
            <v>1151543.8842830369</v>
          </cell>
          <cell r="C189">
            <v>1148641.9676871398</v>
          </cell>
          <cell r="D189">
            <v>1314.8626680308255</v>
          </cell>
        </row>
        <row r="190">
          <cell r="A190" t="str">
            <v>38B</v>
          </cell>
          <cell r="B190">
            <v>1151495.7922653526</v>
          </cell>
          <cell r="C190">
            <v>1148624.0645946893</v>
          </cell>
          <cell r="D190">
            <v>1316.1566868544867</v>
          </cell>
        </row>
        <row r="191">
          <cell r="A191" t="str">
            <v>38A</v>
          </cell>
          <cell r="B191">
            <v>1151514.7166361932</v>
          </cell>
          <cell r="C191">
            <v>1148659.3661344752</v>
          </cell>
          <cell r="D191">
            <v>1315.0465556372992</v>
          </cell>
        </row>
        <row r="192">
          <cell r="A192">
            <v>129</v>
          </cell>
          <cell r="B192">
            <v>1151460.1689020086</v>
          </cell>
          <cell r="C192">
            <v>1148557.3515281044</v>
          </cell>
          <cell r="D192">
            <v>1314.7513793895664</v>
          </cell>
        </row>
        <row r="193">
          <cell r="A193" t="str">
            <v>40A</v>
          </cell>
          <cell r="B193">
            <v>1151476.7454578457</v>
          </cell>
          <cell r="C193">
            <v>1148588.1614798843</v>
          </cell>
          <cell r="D193">
            <v>1318.4645067707697</v>
          </cell>
        </row>
        <row r="194">
          <cell r="A194">
            <v>130</v>
          </cell>
          <cell r="B194">
            <v>1151446.0222039064</v>
          </cell>
          <cell r="C194">
            <v>1148531.0493875344</v>
          </cell>
          <cell r="D194">
            <v>1313.208403703997</v>
          </cell>
        </row>
        <row r="195">
          <cell r="A195" t="str">
            <v>98A</v>
          </cell>
          <cell r="B195">
            <v>1151418.6326701753</v>
          </cell>
          <cell r="C195">
            <v>1148480.0762492763</v>
          </cell>
          <cell r="D195">
            <v>1313.9090044749844</v>
          </cell>
        </row>
        <row r="196">
          <cell r="A196" t="str">
            <v>227A</v>
          </cell>
          <cell r="B196">
            <v>1151567.8397028488</v>
          </cell>
          <cell r="C196">
            <v>1148570.4690328643</v>
          </cell>
          <cell r="D196">
            <v>1313.0328758026367</v>
          </cell>
        </row>
        <row r="197">
          <cell r="A197">
            <v>226</v>
          </cell>
          <cell r="B197">
            <v>1151562.4378230029</v>
          </cell>
          <cell r="C197">
            <v>1148558.4665038674</v>
          </cell>
          <cell r="D197">
            <v>1312.7774900695758</v>
          </cell>
        </row>
        <row r="198">
          <cell r="A198">
            <v>151</v>
          </cell>
          <cell r="B198">
            <v>1151571.047726969</v>
          </cell>
          <cell r="C198">
            <v>1148580.3962668206</v>
          </cell>
          <cell r="D198">
            <v>1313.1040415411946</v>
          </cell>
        </row>
        <row r="199">
          <cell r="A199">
            <v>150</v>
          </cell>
          <cell r="B199">
            <v>1151602.9184141213</v>
          </cell>
          <cell r="C199">
            <v>1148578.6382087027</v>
          </cell>
          <cell r="D199">
            <v>1310.37279975817</v>
          </cell>
        </row>
        <row r="200">
          <cell r="A200" t="str">
            <v>197A</v>
          </cell>
          <cell r="B200">
            <v>1151582.6415286143</v>
          </cell>
          <cell r="C200">
            <v>1148624.4046923113</v>
          </cell>
          <cell r="D200">
            <v>1313.9468883594118</v>
          </cell>
        </row>
        <row r="201">
          <cell r="A201">
            <v>243</v>
          </cell>
          <cell r="B201">
            <v>1151616.2164705556</v>
          </cell>
          <cell r="C201">
            <v>1148685.2480251808</v>
          </cell>
          <cell r="D201">
            <v>1311.5068728376123</v>
          </cell>
        </row>
        <row r="202">
          <cell r="A202">
            <v>35</v>
          </cell>
          <cell r="B202">
            <v>1151626.5142740244</v>
          </cell>
          <cell r="C202">
            <v>1148711.4769282034</v>
          </cell>
          <cell r="D202">
            <v>1309.4196835150972</v>
          </cell>
        </row>
        <row r="203">
          <cell r="A203">
            <v>167</v>
          </cell>
          <cell r="B203">
            <v>1152149.8744469753</v>
          </cell>
          <cell r="C203">
            <v>1148469.1869591104</v>
          </cell>
          <cell r="D203">
            <v>1265.8831724425772</v>
          </cell>
        </row>
        <row r="204">
          <cell r="A204" t="str">
            <v>195A</v>
          </cell>
          <cell r="B204">
            <v>1151667.7022950605</v>
          </cell>
          <cell r="C204">
            <v>1148689.6831163724</v>
          </cell>
          <cell r="D204">
            <v>1306.1596300315775</v>
          </cell>
        </row>
        <row r="205">
          <cell r="A205">
            <v>194</v>
          </cell>
          <cell r="B205">
            <v>1151708.1272511662</v>
          </cell>
          <cell r="C205">
            <v>1148669.6802667705</v>
          </cell>
          <cell r="D205">
            <v>1304.7410795873898</v>
          </cell>
        </row>
        <row r="206">
          <cell r="A206">
            <v>29</v>
          </cell>
          <cell r="B206">
            <v>1151650.7668628893</v>
          </cell>
          <cell r="C206">
            <v>1148758.0330381545</v>
          </cell>
          <cell r="D206">
            <v>1308.6488731799664</v>
          </cell>
        </row>
        <row r="207">
          <cell r="A207">
            <v>30</v>
          </cell>
          <cell r="B207">
            <v>1151702.3626988719</v>
          </cell>
          <cell r="C207">
            <v>1148734.6535584796</v>
          </cell>
          <cell r="D207">
            <v>1303.9933866259273</v>
          </cell>
        </row>
        <row r="208">
          <cell r="A208">
            <v>192</v>
          </cell>
          <cell r="B208">
            <v>1151722.8999999999</v>
          </cell>
          <cell r="C208">
            <v>1148723.18</v>
          </cell>
          <cell r="D208">
            <v>1302.8083036912797</v>
          </cell>
        </row>
        <row r="209">
          <cell r="A209">
            <v>193</v>
          </cell>
          <cell r="B209">
            <v>1151732.6828137552</v>
          </cell>
          <cell r="C209">
            <v>1148718.7256573734</v>
          </cell>
          <cell r="D209">
            <v>1302.2497152188844</v>
          </cell>
        </row>
        <row r="210">
          <cell r="A210" t="str">
            <v>191A</v>
          </cell>
          <cell r="B210">
            <v>1151739.4372468719</v>
          </cell>
          <cell r="C210">
            <v>1148714.686572735</v>
          </cell>
          <cell r="D210">
            <v>1301.9701003363868</v>
          </cell>
        </row>
        <row r="211">
          <cell r="A211">
            <v>242</v>
          </cell>
          <cell r="B211">
            <v>1151730.8941975038</v>
          </cell>
          <cell r="C211">
            <v>1148737.5880459179</v>
          </cell>
          <cell r="D211">
            <v>1300.8653950588762</v>
          </cell>
        </row>
        <row r="212">
          <cell r="A212">
            <v>241</v>
          </cell>
          <cell r="B212">
            <v>1151749.2681671262</v>
          </cell>
          <cell r="C212">
            <v>1148771.6019564816</v>
          </cell>
          <cell r="D212">
            <v>1299.8127210602172</v>
          </cell>
        </row>
        <row r="213">
          <cell r="A213" t="str">
            <v>189A</v>
          </cell>
          <cell r="B213">
            <v>1151811.2063262346</v>
          </cell>
          <cell r="C213">
            <v>1148680.0887808225</v>
          </cell>
          <cell r="D213">
            <v>1297.945952977469</v>
          </cell>
        </row>
        <row r="214">
          <cell r="A214">
            <v>196</v>
          </cell>
          <cell r="B214">
            <v>1151664.3031091515</v>
          </cell>
          <cell r="C214">
            <v>1148583.0490153602</v>
          </cell>
          <cell r="D214">
            <v>1308.1171699410338</v>
          </cell>
        </row>
        <row r="215">
          <cell r="A215" t="str">
            <v>152A</v>
          </cell>
          <cell r="B215">
            <v>1151620.9567490565</v>
          </cell>
          <cell r="C215">
            <v>1148578.2718537077</v>
          </cell>
          <cell r="D215">
            <v>1309.766225089528</v>
          </cell>
        </row>
        <row r="216">
          <cell r="A216">
            <v>53</v>
          </cell>
          <cell r="B216">
            <v>1150980.2884931229</v>
          </cell>
          <cell r="C216">
            <v>1148812.8855180768</v>
          </cell>
          <cell r="D216">
            <v>1351.9105418075978</v>
          </cell>
        </row>
        <row r="217">
          <cell r="A217" t="str">
            <v>196A</v>
          </cell>
          <cell r="B217">
            <v>1151628.7186660117</v>
          </cell>
          <cell r="C217">
            <v>1148602.0070844139</v>
          </cell>
          <cell r="D217">
            <v>1310.6580238976358</v>
          </cell>
        </row>
        <row r="218">
          <cell r="A218">
            <v>154</v>
          </cell>
          <cell r="B218">
            <v>1151702.7631912846</v>
          </cell>
          <cell r="C218">
            <v>1148547.2351504152</v>
          </cell>
          <cell r="D218">
            <v>1302.2967259970769</v>
          </cell>
        </row>
        <row r="219">
          <cell r="A219" t="str">
            <v>159A</v>
          </cell>
          <cell r="B219">
            <v>1151802.7171664049</v>
          </cell>
          <cell r="C219">
            <v>1148522.4254595509</v>
          </cell>
          <cell r="D219">
            <v>1296.6075745682115</v>
          </cell>
        </row>
        <row r="220">
          <cell r="A220">
            <v>155</v>
          </cell>
          <cell r="B220">
            <v>1151749.9908889586</v>
          </cell>
          <cell r="C220">
            <v>1148532.1404104575</v>
          </cell>
          <cell r="D220">
            <v>1299.8452316487815</v>
          </cell>
        </row>
        <row r="221">
          <cell r="A221" t="str">
            <v>156A</v>
          </cell>
          <cell r="B221">
            <v>1151736.312744393</v>
          </cell>
          <cell r="C221">
            <v>1148508.8813793657</v>
          </cell>
          <cell r="D221">
            <v>1301.7930832114421</v>
          </cell>
        </row>
        <row r="222">
          <cell r="A222">
            <v>233</v>
          </cell>
          <cell r="B222">
            <v>1151724.0226220544</v>
          </cell>
          <cell r="C222">
            <v>1148484.520712435</v>
          </cell>
          <cell r="D222">
            <v>1302.544186338944</v>
          </cell>
        </row>
        <row r="223">
          <cell r="A223">
            <v>157</v>
          </cell>
          <cell r="B223">
            <v>1151767.9166875116</v>
          </cell>
          <cell r="C223">
            <v>1148464.0760358248</v>
          </cell>
          <cell r="D223">
            <v>1299.0275037818387</v>
          </cell>
        </row>
        <row r="224">
          <cell r="A224" t="str">
            <v>158A</v>
          </cell>
          <cell r="B224">
            <v>1151761.8557979153</v>
          </cell>
          <cell r="C224">
            <v>1148453.1191516845</v>
          </cell>
          <cell r="D224">
            <v>1298.9601226383299</v>
          </cell>
        </row>
        <row r="225">
          <cell r="A225" t="str">
            <v>160A</v>
          </cell>
          <cell r="B225">
            <v>1151820.2527278347</v>
          </cell>
          <cell r="C225">
            <v>1148510.2974493196</v>
          </cell>
          <cell r="D225">
            <v>1294.5934246040986</v>
          </cell>
        </row>
        <row r="226">
          <cell r="A226" t="str">
            <v>179A</v>
          </cell>
          <cell r="B226">
            <v>1151814.1906129678</v>
          </cell>
          <cell r="C226">
            <v>1148544.737826488</v>
          </cell>
          <cell r="D226">
            <v>1296.4918721439801</v>
          </cell>
        </row>
        <row r="227">
          <cell r="A227">
            <v>178</v>
          </cell>
          <cell r="B227">
            <v>1151849.6586898123</v>
          </cell>
          <cell r="C227">
            <v>1148526.6790704124</v>
          </cell>
          <cell r="D227">
            <v>1294.4716992065205</v>
          </cell>
        </row>
        <row r="228">
          <cell r="A228" t="str">
            <v>185A</v>
          </cell>
          <cell r="B228">
            <v>1151769.0973121659</v>
          </cell>
          <cell r="C228">
            <v>1148567.2716472056</v>
          </cell>
          <cell r="D228">
            <v>1297.473864201258</v>
          </cell>
        </row>
        <row r="229">
          <cell r="A229" t="str">
            <v>187A</v>
          </cell>
          <cell r="B229">
            <v>1151771.4206539269</v>
          </cell>
          <cell r="C229">
            <v>1148604.4797448167</v>
          </cell>
          <cell r="D229">
            <v>1295.5039229197287</v>
          </cell>
        </row>
        <row r="230">
          <cell r="A230" t="str">
            <v>186A</v>
          </cell>
          <cell r="B230">
            <v>1151774.3193928557</v>
          </cell>
          <cell r="C230">
            <v>1148600.7790521421</v>
          </cell>
          <cell r="D230">
            <v>1295.3954527937715</v>
          </cell>
        </row>
        <row r="231">
          <cell r="A231" t="str">
            <v>177A</v>
          </cell>
          <cell r="B231">
            <v>1151864.7484792098</v>
          </cell>
          <cell r="C231">
            <v>1148554.8466317747</v>
          </cell>
          <cell r="D231">
            <v>1294.5856740320717</v>
          </cell>
        </row>
        <row r="232">
          <cell r="A232">
            <v>180</v>
          </cell>
          <cell r="B232">
            <v>1151828.544163597</v>
          </cell>
          <cell r="C232">
            <v>1148572.8650563208</v>
          </cell>
          <cell r="D232">
            <v>1295.3473628538413</v>
          </cell>
        </row>
        <row r="233">
          <cell r="A233">
            <v>181</v>
          </cell>
          <cell r="B233">
            <v>1151844.9433897198</v>
          </cell>
          <cell r="C233">
            <v>1148604.1349467984</v>
          </cell>
          <cell r="D233">
            <v>1293.6983079353147</v>
          </cell>
        </row>
        <row r="234">
          <cell r="A234">
            <v>176</v>
          </cell>
          <cell r="B234">
            <v>1151871.4238794155</v>
          </cell>
          <cell r="C234">
            <v>1148586.7719291556</v>
          </cell>
          <cell r="D234">
            <v>1293.0897808881998</v>
          </cell>
        </row>
        <row r="235">
          <cell r="A235" t="str">
            <v>CJ175A</v>
          </cell>
          <cell r="B235">
            <v>1151899.1932944707</v>
          </cell>
          <cell r="C235">
            <v>1148572.645597721</v>
          </cell>
          <cell r="D235">
            <v>1291.6475397169613</v>
          </cell>
        </row>
        <row r="236">
          <cell r="A236" t="str">
            <v>190A</v>
          </cell>
          <cell r="B236">
            <v>1151768.197690438</v>
          </cell>
          <cell r="C236">
            <v>1148643.4494422888</v>
          </cell>
          <cell r="D236">
            <v>1296.0658232344936</v>
          </cell>
        </row>
        <row r="237">
          <cell r="A237">
            <v>188</v>
          </cell>
          <cell r="B237">
            <v>1151787.0466557827</v>
          </cell>
          <cell r="C237">
            <v>1148633.3317305935</v>
          </cell>
          <cell r="D237">
            <v>1295.4056986939149</v>
          </cell>
        </row>
        <row r="238">
          <cell r="A238">
            <v>184</v>
          </cell>
          <cell r="B238">
            <v>1151815.7952560314</v>
          </cell>
          <cell r="C238">
            <v>1148618.8169786695</v>
          </cell>
          <cell r="D238">
            <v>1294.2331934591225</v>
          </cell>
        </row>
        <row r="239">
          <cell r="A239" t="str">
            <v>183A</v>
          </cell>
          <cell r="B239">
            <v>1151840.1779906591</v>
          </cell>
          <cell r="C239">
            <v>1148665.5680463556</v>
          </cell>
          <cell r="D239">
            <v>1294.8429411993145</v>
          </cell>
        </row>
        <row r="240">
          <cell r="A240">
            <v>182</v>
          </cell>
          <cell r="B240">
            <v>1151868.6587743463</v>
          </cell>
          <cell r="C240">
            <v>1148651.2460405657</v>
          </cell>
          <cell r="D240">
            <v>1291.7442131079697</v>
          </cell>
        </row>
        <row r="241">
          <cell r="A241">
            <v>236</v>
          </cell>
          <cell r="B241">
            <v>1151895.0068230964</v>
          </cell>
          <cell r="C241">
            <v>1148631.4362048125</v>
          </cell>
          <cell r="D241">
            <v>1290.2010483382467</v>
          </cell>
        </row>
        <row r="242">
          <cell r="A242">
            <v>174</v>
          </cell>
          <cell r="B242">
            <v>1151943.6994026084</v>
          </cell>
          <cell r="C242">
            <v>1148557.4343397403</v>
          </cell>
          <cell r="D242">
            <v>1285.6410521506205</v>
          </cell>
        </row>
        <row r="243">
          <cell r="A243">
            <v>173</v>
          </cell>
          <cell r="B243">
            <v>1151959.6172731828</v>
          </cell>
          <cell r="C243">
            <v>1148513.1107530193</v>
          </cell>
          <cell r="D243">
            <v>1281.6176624057696</v>
          </cell>
        </row>
        <row r="244">
          <cell r="A244">
            <v>162</v>
          </cell>
          <cell r="B244">
            <v>1151920.6989750403</v>
          </cell>
          <cell r="C244">
            <v>1148464.3607057021</v>
          </cell>
          <cell r="D244">
            <v>1281.8665448070053</v>
          </cell>
        </row>
        <row r="245">
          <cell r="A245">
            <v>163</v>
          </cell>
          <cell r="B245">
            <v>1151997.6521018036</v>
          </cell>
          <cell r="C245">
            <v>1148449.7638199658</v>
          </cell>
          <cell r="D245">
            <v>1277.153590090177</v>
          </cell>
        </row>
        <row r="246">
          <cell r="A246">
            <v>161</v>
          </cell>
          <cell r="B246">
            <v>1151848.4634086573</v>
          </cell>
          <cell r="C246">
            <v>1148491.2749540398</v>
          </cell>
          <cell r="D246">
            <v>1289.9097701648454</v>
          </cell>
        </row>
        <row r="247">
          <cell r="A247">
            <v>160</v>
          </cell>
          <cell r="B247">
            <v>1151836.0636977083</v>
          </cell>
          <cell r="C247">
            <v>1148499.3772504381</v>
          </cell>
          <cell r="D247">
            <v>1291.7679697140156</v>
          </cell>
        </row>
        <row r="248">
          <cell r="A248" t="str">
            <v>CJ163C</v>
          </cell>
          <cell r="B248">
            <v>1151987.7705951601</v>
          </cell>
          <cell r="C248">
            <v>1148421.2594891426</v>
          </cell>
          <cell r="D248">
            <v>1275.56505888421</v>
          </cell>
        </row>
        <row r="249">
          <cell r="A249">
            <v>31</v>
          </cell>
          <cell r="B249">
            <v>1151736.3748807493</v>
          </cell>
          <cell r="C249">
            <v>1148776.8295116681</v>
          </cell>
          <cell r="D249">
            <v>1296.8320235513897</v>
          </cell>
        </row>
        <row r="250">
          <cell r="A250" t="str">
            <v>27A</v>
          </cell>
          <cell r="B250">
            <v>1151486.0546954912</v>
          </cell>
          <cell r="C250">
            <v>1148933.3341981913</v>
          </cell>
          <cell r="D250">
            <v>1316.49918844477</v>
          </cell>
        </row>
        <row r="251">
          <cell r="A251" t="str">
            <v>27B</v>
          </cell>
          <cell r="B251">
            <v>1151518.388989338</v>
          </cell>
          <cell r="C251">
            <v>1148941.6187684566</v>
          </cell>
          <cell r="D251">
            <v>1314.6885262302699</v>
          </cell>
        </row>
        <row r="252">
          <cell r="A252" t="str">
            <v>1A</v>
          </cell>
          <cell r="B252">
            <v>1150543.6506597537</v>
          </cell>
          <cell r="C252">
            <v>1149016.7116236743</v>
          </cell>
          <cell r="D252">
            <v>1391.4934198841761</v>
          </cell>
        </row>
        <row r="253">
          <cell r="A253">
            <v>3</v>
          </cell>
          <cell r="B253">
            <v>1150599.4695758151</v>
          </cell>
          <cell r="C253">
            <v>1149012.5368548292</v>
          </cell>
          <cell r="D253">
            <v>1386.3907429040823</v>
          </cell>
        </row>
        <row r="254">
          <cell r="A254" t="str">
            <v>2A</v>
          </cell>
          <cell r="B254">
            <v>1150601.6455442153</v>
          </cell>
          <cell r="C254">
            <v>1149044.3902644217</v>
          </cell>
          <cell r="D254">
            <v>1386.6685910670581</v>
          </cell>
        </row>
        <row r="255">
          <cell r="A255">
            <v>4</v>
          </cell>
          <cell r="B255">
            <v>1150651.0275648539</v>
          </cell>
          <cell r="C255">
            <v>1149008.9142202851</v>
          </cell>
          <cell r="D255">
            <v>1384.9995773641242</v>
          </cell>
        </row>
        <row r="256">
          <cell r="A256">
            <v>5</v>
          </cell>
          <cell r="B256">
            <v>1150681.4956238831</v>
          </cell>
          <cell r="C256">
            <v>1149038.4988333476</v>
          </cell>
          <cell r="D256">
            <v>1384.6398264971069</v>
          </cell>
        </row>
        <row r="257">
          <cell r="A257" t="str">
            <v>1C</v>
          </cell>
          <cell r="B257">
            <v>1150526.7</v>
          </cell>
          <cell r="C257">
            <v>1149006.098</v>
          </cell>
          <cell r="D257">
            <v>1396.5</v>
          </cell>
        </row>
        <row r="258">
          <cell r="A258" t="str">
            <v>1B</v>
          </cell>
          <cell r="B258">
            <v>1150511.7037</v>
          </cell>
          <cell r="C258">
            <v>1149006.4121000001</v>
          </cell>
          <cell r="D258">
            <v>1395.9</v>
          </cell>
        </row>
        <row r="259">
          <cell r="A259" t="str">
            <v>BOT1</v>
          </cell>
          <cell r="B259">
            <v>1150736.2454455053</v>
          </cell>
          <cell r="C259">
            <v>1149083.1763381369</v>
          </cell>
          <cell r="D259">
            <v>1375.4809654374014</v>
          </cell>
        </row>
        <row r="260">
          <cell r="A260" t="str">
            <v>BOT2</v>
          </cell>
          <cell r="B260">
            <v>1151184.9831464568</v>
          </cell>
          <cell r="C260">
            <v>1148861.2434203981</v>
          </cell>
          <cell r="D260">
            <v>1330.6180094195531</v>
          </cell>
        </row>
        <row r="261">
          <cell r="A261" t="str">
            <v>51A</v>
          </cell>
          <cell r="B261">
            <v>1150980.6321</v>
          </cell>
          <cell r="C261">
            <v>1148771.6643000001</v>
          </cell>
          <cell r="D261">
            <v>1349.29</v>
          </cell>
        </row>
        <row r="262">
          <cell r="A262" t="str">
            <v>CJ1</v>
          </cell>
          <cell r="B262">
            <v>1150900.7104690119</v>
          </cell>
          <cell r="C262">
            <v>1148853.2777352056</v>
          </cell>
          <cell r="D262">
            <v>1369.5731856955999</v>
          </cell>
        </row>
        <row r="263">
          <cell r="A263">
            <v>59</v>
          </cell>
          <cell r="B263">
            <v>1151103.0508999999</v>
          </cell>
          <cell r="C263">
            <v>1148870.1719</v>
          </cell>
          <cell r="D263">
            <v>1339</v>
          </cell>
        </row>
        <row r="264">
          <cell r="A264" t="str">
            <v>BOT3</v>
          </cell>
          <cell r="B264">
            <v>1151261.1627592309</v>
          </cell>
          <cell r="C264">
            <v>1148852.0948524266</v>
          </cell>
          <cell r="D264">
            <v>1326.7316340248872</v>
          </cell>
        </row>
        <row r="265">
          <cell r="A265" t="str">
            <v>TC1</v>
          </cell>
          <cell r="B265">
            <v>1150994.0906</v>
          </cell>
          <cell r="C265">
            <v>1148588.0312999999</v>
          </cell>
          <cell r="D265">
            <v>1337</v>
          </cell>
        </row>
        <row r="266">
          <cell r="A266">
            <v>84</v>
          </cell>
          <cell r="B266">
            <v>1151080.5739</v>
          </cell>
          <cell r="C266">
            <v>1148721.0673</v>
          </cell>
          <cell r="D266">
            <v>1335</v>
          </cell>
        </row>
        <row r="267">
          <cell r="A267" t="str">
            <v>CJ255</v>
          </cell>
          <cell r="B267">
            <v>1151266.81</v>
          </cell>
          <cell r="C267">
            <v>1148568.1100000001</v>
          </cell>
          <cell r="D267">
            <v>1320.64</v>
          </cell>
        </row>
        <row r="268">
          <cell r="A268" t="str">
            <v>BOT4</v>
          </cell>
          <cell r="B268">
            <v>1151265.6019993247</v>
          </cell>
          <cell r="C268">
            <v>1148341.9616155077</v>
          </cell>
          <cell r="D268">
            <v>1285.0525816942959</v>
          </cell>
        </row>
        <row r="269">
          <cell r="A269" t="str">
            <v>BOT5</v>
          </cell>
          <cell r="B269">
            <v>1151312.91994881</v>
          </cell>
          <cell r="C269">
            <v>1148877.5418262766</v>
          </cell>
          <cell r="D269">
            <v>1322.05</v>
          </cell>
        </row>
        <row r="270">
          <cell r="A270" t="str">
            <v>TC2</v>
          </cell>
          <cell r="B270">
            <v>1151562.6592000001</v>
          </cell>
          <cell r="C270">
            <v>1148756.4952</v>
          </cell>
          <cell r="D270">
            <v>1315</v>
          </cell>
        </row>
        <row r="271">
          <cell r="A271" t="str">
            <v>TC3</v>
          </cell>
          <cell r="B271">
            <v>1151617.8685999999</v>
          </cell>
          <cell r="C271">
            <v>1148696.8551</v>
          </cell>
          <cell r="D271">
            <v>1311</v>
          </cell>
        </row>
        <row r="272">
          <cell r="A272" t="str">
            <v>TC4</v>
          </cell>
          <cell r="B272">
            <v>1151597.4129000001</v>
          </cell>
          <cell r="C272">
            <v>1148656.9887999999</v>
          </cell>
          <cell r="D272">
            <v>1313</v>
          </cell>
        </row>
        <row r="273">
          <cell r="A273" t="str">
            <v>PTAR</v>
          </cell>
          <cell r="B273">
            <v>1151765.0356640574</v>
          </cell>
          <cell r="C273">
            <v>1148777.8032302971</v>
          </cell>
          <cell r="D273">
            <v>1297.6190400131859</v>
          </cell>
        </row>
        <row r="274">
          <cell r="A274" t="str">
            <v>BOT10</v>
          </cell>
          <cell r="B274">
            <v>1151759.7471599397</v>
          </cell>
          <cell r="C274">
            <v>1148782.0347924193</v>
          </cell>
          <cell r="D274">
            <v>1298.7722749911015</v>
          </cell>
        </row>
        <row r="275">
          <cell r="A275" t="str">
            <v>BOT7</v>
          </cell>
          <cell r="B275">
            <v>1151336.2346746898</v>
          </cell>
          <cell r="C275">
            <v>1148342.4810068768</v>
          </cell>
          <cell r="D275">
            <v>1285.5724017373286</v>
          </cell>
        </row>
        <row r="276">
          <cell r="A276" t="str">
            <v>CJ130</v>
          </cell>
          <cell r="B276">
            <v>1151467.4378</v>
          </cell>
          <cell r="C276">
            <v>1148532.0723000001</v>
          </cell>
          <cell r="D276">
            <v>1310.3</v>
          </cell>
        </row>
        <row r="277">
          <cell r="A277" t="str">
            <v>BOT8</v>
          </cell>
          <cell r="B277">
            <v>1151696.6020456252</v>
          </cell>
          <cell r="C277">
            <v>1148367.7710238246</v>
          </cell>
          <cell r="D277">
            <v>1287.2042960007518</v>
          </cell>
        </row>
        <row r="278">
          <cell r="A278" t="str">
            <v>TC5</v>
          </cell>
          <cell r="B278">
            <v>1151835.9676999999</v>
          </cell>
          <cell r="C278">
            <v>1148656.8032</v>
          </cell>
          <cell r="D278">
            <v>1294.7</v>
          </cell>
        </row>
        <row r="279">
          <cell r="A279" t="str">
            <v>TC6</v>
          </cell>
          <cell r="B279">
            <v>1151851.6457</v>
          </cell>
          <cell r="C279">
            <v>1148617.5623999999</v>
          </cell>
          <cell r="D279">
            <v>1293.3</v>
          </cell>
        </row>
        <row r="280">
          <cell r="A280" t="str">
            <v>BOT9</v>
          </cell>
          <cell r="B280">
            <v>1152271.1552671087</v>
          </cell>
          <cell r="C280">
            <v>1148639.7910184837</v>
          </cell>
          <cell r="D280">
            <v>1248.9965380610192</v>
          </cell>
        </row>
        <row r="281">
          <cell r="A281" t="str">
            <v>OBRA</v>
          </cell>
          <cell r="B281">
            <v>1151958.7909773067</v>
          </cell>
          <cell r="C281">
            <v>1148419.514113948</v>
          </cell>
          <cell r="D281">
            <v>1275.2</v>
          </cell>
        </row>
        <row r="282">
          <cell r="A282" t="str">
            <v>S163A</v>
          </cell>
          <cell r="B282">
            <v>1151993.9349729232</v>
          </cell>
          <cell r="C282">
            <v>1148444.7730684588</v>
          </cell>
          <cell r="D282">
            <v>1275.7974903947254</v>
          </cell>
        </row>
        <row r="283">
          <cell r="A283" t="str">
            <v>BOT15</v>
          </cell>
          <cell r="B283">
            <v>1152033.8691</v>
          </cell>
          <cell r="C283">
            <v>1148461.7611</v>
          </cell>
          <cell r="D283">
            <v>1273.7</v>
          </cell>
        </row>
        <row r="284">
          <cell r="A284" t="str">
            <v>BOT13</v>
          </cell>
          <cell r="B284">
            <v>1151553.8191502229</v>
          </cell>
          <cell r="C284">
            <v>1148949.5852873139</v>
          </cell>
          <cell r="D284">
            <v>1310.9035573521376</v>
          </cell>
        </row>
        <row r="285">
          <cell r="A285">
            <v>70</v>
          </cell>
          <cell r="B285">
            <v>1151079.3119845525</v>
          </cell>
          <cell r="C285">
            <v>1148613.9787219439</v>
          </cell>
          <cell r="D285">
            <v>1325.0819496480879</v>
          </cell>
        </row>
        <row r="286">
          <cell r="A286" t="str">
            <v>168A</v>
          </cell>
          <cell r="B286">
            <v>1152228.3799999999</v>
          </cell>
          <cell r="C286">
            <v>1148517.3</v>
          </cell>
          <cell r="D286">
            <v>1262.4100000000001</v>
          </cell>
        </row>
        <row r="287">
          <cell r="A287" t="str">
            <v>BOT11</v>
          </cell>
          <cell r="B287">
            <v>1151757.7685181033</v>
          </cell>
          <cell r="C287">
            <v>1148783.6067118025</v>
          </cell>
          <cell r="D287">
            <v>1298.3704512511542</v>
          </cell>
        </row>
        <row r="288">
          <cell r="A288">
            <v>33</v>
          </cell>
          <cell r="B288">
            <v>1151676.3600000001</v>
          </cell>
          <cell r="C288">
            <v>1148704.96</v>
          </cell>
          <cell r="D288">
            <v>1305</v>
          </cell>
        </row>
        <row r="289">
          <cell r="A289" t="str">
            <v>TC7</v>
          </cell>
          <cell r="B289">
            <v>1151575.9967</v>
          </cell>
          <cell r="C289">
            <v>1148603.1161</v>
          </cell>
          <cell r="D289">
            <v>1314</v>
          </cell>
        </row>
        <row r="290">
          <cell r="A290" t="str">
            <v>CJ37A</v>
          </cell>
          <cell r="B290">
            <v>1151575.9967</v>
          </cell>
          <cell r="C290">
            <v>1148603.1161</v>
          </cell>
          <cell r="D290">
            <v>1314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DOS"/>
      <sheetName val="TUBERIAS"/>
      <sheetName val="Hoja3"/>
      <sheetName val="CANTOBRA"/>
      <sheetName val="PPTO AREA URBANA"/>
      <sheetName val="PPTO_AREA_URBANA"/>
      <sheetName val="PPTO_AREA_URBANA1"/>
      <sheetName val="PPTO_AREA_URBANA5"/>
      <sheetName val="PPTO_AREA_URBANA2"/>
      <sheetName val="PPTO_AREA_URBANA3"/>
      <sheetName val="PPTO_AREA_URBANA4"/>
      <sheetName val="PPTO_AREA_URBANA6"/>
    </sheetNames>
    <sheetDataSet>
      <sheetData sheetId="0"/>
      <sheetData sheetId="1"/>
      <sheetData sheetId="2">
        <row r="5">
          <cell r="A5">
            <v>1</v>
          </cell>
          <cell r="B5">
            <v>2192.33</v>
          </cell>
        </row>
        <row r="6">
          <cell r="A6">
            <v>2</v>
          </cell>
          <cell r="B6">
            <v>2190.9699999999998</v>
          </cell>
        </row>
        <row r="7">
          <cell r="A7">
            <v>3</v>
          </cell>
          <cell r="B7">
            <v>2185.54</v>
          </cell>
        </row>
        <row r="8">
          <cell r="A8">
            <v>4</v>
          </cell>
          <cell r="B8">
            <v>2171.9899999999998</v>
          </cell>
        </row>
        <row r="9">
          <cell r="A9">
            <v>5</v>
          </cell>
          <cell r="B9">
            <v>2162.2600000000002</v>
          </cell>
        </row>
        <row r="10">
          <cell r="A10">
            <v>8</v>
          </cell>
          <cell r="B10">
            <v>2148.67</v>
          </cell>
        </row>
        <row r="11">
          <cell r="A11">
            <v>9</v>
          </cell>
          <cell r="B11">
            <v>2148.0100000000002</v>
          </cell>
        </row>
        <row r="12">
          <cell r="A12">
            <v>10</v>
          </cell>
          <cell r="B12">
            <v>2143.1999999999998</v>
          </cell>
        </row>
        <row r="13">
          <cell r="A13">
            <v>11</v>
          </cell>
          <cell r="B13">
            <v>2142.39</v>
          </cell>
        </row>
        <row r="14">
          <cell r="A14">
            <v>12</v>
          </cell>
          <cell r="B14">
            <v>2141.66</v>
          </cell>
        </row>
        <row r="15">
          <cell r="A15">
            <v>13</v>
          </cell>
          <cell r="B15">
            <v>2140.38</v>
          </cell>
        </row>
        <row r="16">
          <cell r="A16">
            <v>14</v>
          </cell>
          <cell r="B16">
            <v>2138.3200000000002</v>
          </cell>
        </row>
        <row r="17">
          <cell r="A17">
            <v>15</v>
          </cell>
          <cell r="B17">
            <v>2152.58</v>
          </cell>
        </row>
        <row r="18">
          <cell r="A18">
            <v>19</v>
          </cell>
          <cell r="B18">
            <v>2148.67</v>
          </cell>
        </row>
        <row r="19">
          <cell r="A19">
            <v>20</v>
          </cell>
          <cell r="B19">
            <v>2138</v>
          </cell>
        </row>
        <row r="20">
          <cell r="A20">
            <v>21</v>
          </cell>
          <cell r="B20">
            <v>2138</v>
          </cell>
        </row>
        <row r="21">
          <cell r="A21">
            <v>22</v>
          </cell>
          <cell r="B21">
            <v>2137.4499999999998</v>
          </cell>
        </row>
        <row r="22">
          <cell r="A22">
            <v>23</v>
          </cell>
          <cell r="B22">
            <v>2137.4499999999998</v>
          </cell>
        </row>
        <row r="23">
          <cell r="A23">
            <v>24</v>
          </cell>
          <cell r="B23">
            <v>2138</v>
          </cell>
        </row>
        <row r="24">
          <cell r="A24">
            <v>25</v>
          </cell>
          <cell r="B24">
            <v>2138</v>
          </cell>
        </row>
        <row r="25">
          <cell r="A25">
            <v>26</v>
          </cell>
          <cell r="B25">
            <v>2137.84</v>
          </cell>
        </row>
        <row r="26">
          <cell r="A26">
            <v>27</v>
          </cell>
          <cell r="B26">
            <v>2140.54</v>
          </cell>
        </row>
        <row r="27">
          <cell r="A27">
            <v>28</v>
          </cell>
          <cell r="B27">
            <v>2124.0500000000002</v>
          </cell>
        </row>
        <row r="28">
          <cell r="A28">
            <v>29</v>
          </cell>
          <cell r="B28">
            <v>2124.0500000000002</v>
          </cell>
        </row>
        <row r="29">
          <cell r="A29">
            <v>30</v>
          </cell>
          <cell r="B29">
            <v>2112.92</v>
          </cell>
        </row>
        <row r="30">
          <cell r="A30">
            <v>31</v>
          </cell>
          <cell r="B30">
            <v>2112.92</v>
          </cell>
        </row>
        <row r="31">
          <cell r="A31">
            <v>32</v>
          </cell>
          <cell r="B31">
            <v>2137.84</v>
          </cell>
        </row>
        <row r="32">
          <cell r="A32">
            <v>34</v>
          </cell>
          <cell r="B32">
            <v>2131.44</v>
          </cell>
        </row>
        <row r="33">
          <cell r="A33">
            <v>38</v>
          </cell>
          <cell r="B33">
            <v>2105.1</v>
          </cell>
        </row>
        <row r="34">
          <cell r="A34">
            <v>39</v>
          </cell>
          <cell r="B34">
            <v>2105.1</v>
          </cell>
        </row>
        <row r="35">
          <cell r="A35">
            <v>40</v>
          </cell>
          <cell r="B35">
            <v>2113.23</v>
          </cell>
        </row>
        <row r="36">
          <cell r="A36">
            <v>41</v>
          </cell>
          <cell r="B36">
            <v>2113.23</v>
          </cell>
        </row>
        <row r="37">
          <cell r="A37">
            <v>42</v>
          </cell>
          <cell r="B37">
            <v>2110.75</v>
          </cell>
        </row>
        <row r="38">
          <cell r="A38">
            <v>6</v>
          </cell>
          <cell r="B38">
            <v>2124.0500000000002</v>
          </cell>
        </row>
        <row r="39">
          <cell r="A39">
            <v>16</v>
          </cell>
          <cell r="B39">
            <v>2102.4499999999998</v>
          </cell>
        </row>
        <row r="40">
          <cell r="A40">
            <v>17</v>
          </cell>
          <cell r="B40">
            <v>2102.67</v>
          </cell>
        </row>
        <row r="41">
          <cell r="A41">
            <v>18</v>
          </cell>
          <cell r="B41">
            <v>2102.67</v>
          </cell>
        </row>
        <row r="42">
          <cell r="A42">
            <v>33</v>
          </cell>
          <cell r="B42">
            <v>2094.37</v>
          </cell>
        </row>
        <row r="43">
          <cell r="A43">
            <v>35</v>
          </cell>
          <cell r="B43">
            <v>2092.58</v>
          </cell>
        </row>
        <row r="44">
          <cell r="A44">
            <v>36</v>
          </cell>
          <cell r="B44">
            <v>2097.64</v>
          </cell>
        </row>
        <row r="45">
          <cell r="A45">
            <v>37</v>
          </cell>
          <cell r="B45">
            <v>2097.64</v>
          </cell>
        </row>
        <row r="46">
          <cell r="A46">
            <v>43</v>
          </cell>
          <cell r="B46">
            <v>2099.5300000000002</v>
          </cell>
        </row>
        <row r="47">
          <cell r="A47">
            <v>44</v>
          </cell>
          <cell r="B47">
            <v>2108.91</v>
          </cell>
        </row>
        <row r="48">
          <cell r="A48">
            <v>45</v>
          </cell>
          <cell r="B48">
            <v>2106.69</v>
          </cell>
        </row>
        <row r="49">
          <cell r="A49">
            <v>46</v>
          </cell>
          <cell r="B49">
            <v>2106.1799999999998</v>
          </cell>
        </row>
        <row r="50">
          <cell r="A50">
            <v>47</v>
          </cell>
          <cell r="B50">
            <v>2108.9699999999998</v>
          </cell>
        </row>
        <row r="51">
          <cell r="A51">
            <v>48</v>
          </cell>
          <cell r="B51">
            <v>2112.3000000000002</v>
          </cell>
        </row>
        <row r="52">
          <cell r="A52">
            <v>49</v>
          </cell>
          <cell r="B52">
            <v>2111.59</v>
          </cell>
        </row>
        <row r="53">
          <cell r="A53">
            <v>50</v>
          </cell>
          <cell r="B53">
            <v>2116.2199999999998</v>
          </cell>
        </row>
        <row r="54">
          <cell r="A54">
            <v>52</v>
          </cell>
          <cell r="B54">
            <v>2110.12</v>
          </cell>
        </row>
        <row r="55">
          <cell r="A55">
            <v>53</v>
          </cell>
          <cell r="B55">
            <v>2107.12</v>
          </cell>
        </row>
        <row r="56">
          <cell r="A56">
            <v>54</v>
          </cell>
          <cell r="B56">
            <v>2104</v>
          </cell>
        </row>
        <row r="57">
          <cell r="A57">
            <v>55</v>
          </cell>
          <cell r="B57">
            <v>2115.98</v>
          </cell>
        </row>
        <row r="58">
          <cell r="A58">
            <v>56</v>
          </cell>
          <cell r="B58">
            <v>2107.33</v>
          </cell>
        </row>
        <row r="59">
          <cell r="A59">
            <v>57</v>
          </cell>
          <cell r="B59">
            <v>2115.83</v>
          </cell>
        </row>
        <row r="60">
          <cell r="A60">
            <v>58</v>
          </cell>
          <cell r="B60">
            <v>2115.8000000000002</v>
          </cell>
        </row>
        <row r="61">
          <cell r="A61">
            <v>59</v>
          </cell>
          <cell r="B61">
            <v>2115.8000000000002</v>
          </cell>
        </row>
        <row r="62">
          <cell r="A62">
            <v>60</v>
          </cell>
          <cell r="B62">
            <v>2116.12</v>
          </cell>
        </row>
        <row r="63">
          <cell r="A63">
            <v>62</v>
          </cell>
          <cell r="B63">
            <v>2115.91</v>
          </cell>
        </row>
        <row r="64">
          <cell r="A64">
            <v>63</v>
          </cell>
          <cell r="B64">
            <v>2114.91</v>
          </cell>
        </row>
        <row r="65">
          <cell r="A65">
            <v>64</v>
          </cell>
          <cell r="B65">
            <v>2120.44</v>
          </cell>
        </row>
        <row r="66">
          <cell r="A66">
            <v>65</v>
          </cell>
          <cell r="B66">
            <v>2120.44</v>
          </cell>
        </row>
        <row r="67">
          <cell r="A67">
            <v>66</v>
          </cell>
          <cell r="B67">
            <v>2120.4499999999998</v>
          </cell>
        </row>
        <row r="68">
          <cell r="A68">
            <v>67</v>
          </cell>
          <cell r="B68">
            <v>2120.4499999999998</v>
          </cell>
        </row>
        <row r="69">
          <cell r="A69">
            <v>68</v>
          </cell>
          <cell r="B69">
            <v>2117.04</v>
          </cell>
        </row>
        <row r="70">
          <cell r="A70">
            <v>69</v>
          </cell>
          <cell r="B70">
            <v>2127.9699999999998</v>
          </cell>
        </row>
        <row r="71">
          <cell r="A71">
            <v>71</v>
          </cell>
          <cell r="B71">
            <v>2114.86</v>
          </cell>
        </row>
        <row r="72">
          <cell r="A72">
            <v>72</v>
          </cell>
          <cell r="B72">
            <v>2116.35</v>
          </cell>
        </row>
        <row r="73">
          <cell r="A73">
            <v>73</v>
          </cell>
          <cell r="B73">
            <v>2106.84</v>
          </cell>
        </row>
        <row r="74">
          <cell r="A74">
            <v>74</v>
          </cell>
          <cell r="B74">
            <v>2107.7600000000002</v>
          </cell>
        </row>
        <row r="75">
          <cell r="A75">
            <v>76</v>
          </cell>
          <cell r="B75">
            <v>2106.84</v>
          </cell>
        </row>
        <row r="76">
          <cell r="A76">
            <v>78</v>
          </cell>
          <cell r="B76">
            <v>2107.37</v>
          </cell>
        </row>
        <row r="77">
          <cell r="A77">
            <v>79</v>
          </cell>
          <cell r="B77">
            <v>2105.4499999999998</v>
          </cell>
        </row>
        <row r="78">
          <cell r="A78">
            <v>80</v>
          </cell>
          <cell r="B78">
            <v>2105.4499999999998</v>
          </cell>
        </row>
        <row r="79">
          <cell r="A79">
            <v>81</v>
          </cell>
          <cell r="B79">
            <v>2153.1799999999998</v>
          </cell>
        </row>
        <row r="80">
          <cell r="A80">
            <v>82</v>
          </cell>
          <cell r="B80">
            <v>2138.9699999999998</v>
          </cell>
        </row>
        <row r="81">
          <cell r="A81">
            <v>83</v>
          </cell>
          <cell r="B81">
            <v>2143.92</v>
          </cell>
        </row>
        <row r="82">
          <cell r="A82">
            <v>84</v>
          </cell>
          <cell r="B82">
            <v>2124.69</v>
          </cell>
        </row>
        <row r="83">
          <cell r="A83">
            <v>85</v>
          </cell>
          <cell r="B83">
            <v>2125.11</v>
          </cell>
        </row>
        <row r="84">
          <cell r="A84">
            <v>86</v>
          </cell>
          <cell r="B84">
            <v>2123.1999999999998</v>
          </cell>
        </row>
        <row r="85">
          <cell r="A85">
            <v>87</v>
          </cell>
          <cell r="B85">
            <v>2123.1999999999998</v>
          </cell>
        </row>
        <row r="86">
          <cell r="A86">
            <v>88</v>
          </cell>
          <cell r="B86">
            <v>2121.44</v>
          </cell>
        </row>
        <row r="87">
          <cell r="A87">
            <v>89</v>
          </cell>
          <cell r="B87">
            <v>2107.29</v>
          </cell>
        </row>
        <row r="88">
          <cell r="A88">
            <v>90</v>
          </cell>
          <cell r="B88">
            <v>2107.14</v>
          </cell>
        </row>
        <row r="89">
          <cell r="A89">
            <v>91</v>
          </cell>
          <cell r="B89">
            <v>2102.5700000000002</v>
          </cell>
        </row>
        <row r="90">
          <cell r="A90">
            <v>92</v>
          </cell>
          <cell r="B90">
            <v>2102.5700000000002</v>
          </cell>
        </row>
        <row r="91">
          <cell r="A91">
            <v>93</v>
          </cell>
          <cell r="B91">
            <v>2094.11</v>
          </cell>
        </row>
        <row r="92">
          <cell r="A92">
            <v>94</v>
          </cell>
          <cell r="B92">
            <v>2094.11</v>
          </cell>
        </row>
        <row r="93">
          <cell r="A93">
            <v>95</v>
          </cell>
          <cell r="B93">
            <v>2100.98</v>
          </cell>
        </row>
        <row r="94">
          <cell r="A94">
            <v>97</v>
          </cell>
          <cell r="B94">
            <v>2100.29</v>
          </cell>
        </row>
        <row r="95">
          <cell r="A95">
            <v>98</v>
          </cell>
          <cell r="B95">
            <v>2094.2600000000002</v>
          </cell>
        </row>
        <row r="96">
          <cell r="A96">
            <v>99</v>
          </cell>
          <cell r="B96">
            <v>2089.6</v>
          </cell>
        </row>
        <row r="97">
          <cell r="A97">
            <v>100</v>
          </cell>
          <cell r="B97">
            <v>2114.5100000000002</v>
          </cell>
        </row>
        <row r="98">
          <cell r="A98">
            <v>102</v>
          </cell>
          <cell r="B98">
            <v>2107.9899999999998</v>
          </cell>
        </row>
        <row r="99">
          <cell r="A99">
            <v>103</v>
          </cell>
          <cell r="B99">
            <v>2107.5700000000002</v>
          </cell>
        </row>
        <row r="100">
          <cell r="A100">
            <v>104</v>
          </cell>
          <cell r="B100">
            <v>2107.4699999999998</v>
          </cell>
        </row>
        <row r="101">
          <cell r="A101">
            <v>106</v>
          </cell>
          <cell r="B101">
            <v>2095.4</v>
          </cell>
        </row>
        <row r="102">
          <cell r="A102">
            <v>107</v>
          </cell>
          <cell r="B102">
            <v>2095.1999999999998</v>
          </cell>
        </row>
        <row r="103">
          <cell r="A103">
            <v>108</v>
          </cell>
          <cell r="B103">
            <v>2091.1</v>
          </cell>
        </row>
        <row r="104">
          <cell r="A104">
            <v>109</v>
          </cell>
          <cell r="B104">
            <v>2091.1</v>
          </cell>
        </row>
        <row r="105">
          <cell r="A105">
            <v>110</v>
          </cell>
          <cell r="B105">
            <v>2085.02</v>
          </cell>
        </row>
        <row r="106">
          <cell r="A106">
            <v>111</v>
          </cell>
          <cell r="B106">
            <v>2106.81</v>
          </cell>
        </row>
        <row r="107">
          <cell r="A107">
            <v>112</v>
          </cell>
          <cell r="B107">
            <v>2106.7800000000002</v>
          </cell>
        </row>
        <row r="108">
          <cell r="A108">
            <v>113</v>
          </cell>
          <cell r="B108">
            <v>2106.81</v>
          </cell>
        </row>
        <row r="109">
          <cell r="A109">
            <v>114</v>
          </cell>
          <cell r="B109">
            <v>2106.7800000000002</v>
          </cell>
        </row>
        <row r="110">
          <cell r="A110">
            <v>115</v>
          </cell>
          <cell r="B110">
            <v>2110.23</v>
          </cell>
        </row>
        <row r="111">
          <cell r="A111">
            <v>116</v>
          </cell>
          <cell r="B111">
            <v>2092.23</v>
          </cell>
        </row>
        <row r="112">
          <cell r="A112">
            <v>117</v>
          </cell>
          <cell r="B112">
            <v>2092.23</v>
          </cell>
        </row>
        <row r="113">
          <cell r="A113">
            <v>118</v>
          </cell>
          <cell r="B113">
            <v>2090.33</v>
          </cell>
        </row>
        <row r="114">
          <cell r="A114">
            <v>119</v>
          </cell>
          <cell r="B114">
            <v>2090.33</v>
          </cell>
        </row>
        <row r="115">
          <cell r="A115">
            <v>120</v>
          </cell>
          <cell r="B115">
            <v>2090.85</v>
          </cell>
        </row>
        <row r="116">
          <cell r="A116">
            <v>121</v>
          </cell>
          <cell r="B116">
            <v>2086.33</v>
          </cell>
        </row>
        <row r="117">
          <cell r="A117">
            <v>122</v>
          </cell>
          <cell r="B117">
            <v>2086.33</v>
          </cell>
        </row>
        <row r="118">
          <cell r="A118">
            <v>123</v>
          </cell>
          <cell r="B118">
            <v>2068.84</v>
          </cell>
        </row>
        <row r="119">
          <cell r="A119">
            <v>124</v>
          </cell>
          <cell r="B119">
            <v>2051.52</v>
          </cell>
        </row>
        <row r="120">
          <cell r="A120">
            <v>125</v>
          </cell>
          <cell r="B120">
            <v>2051.52</v>
          </cell>
        </row>
        <row r="121">
          <cell r="A121">
            <v>126</v>
          </cell>
          <cell r="B121">
            <v>2085.89</v>
          </cell>
        </row>
        <row r="122">
          <cell r="A122">
            <v>127</v>
          </cell>
          <cell r="B122">
            <v>2089.41</v>
          </cell>
        </row>
        <row r="123">
          <cell r="A123">
            <v>128</v>
          </cell>
          <cell r="B123">
            <v>2088.7600000000002</v>
          </cell>
        </row>
        <row r="124">
          <cell r="A124">
            <v>129</v>
          </cell>
          <cell r="B124">
            <v>2084.7800000000002</v>
          </cell>
        </row>
        <row r="125">
          <cell r="A125">
            <v>131</v>
          </cell>
          <cell r="B125">
            <v>2090.04</v>
          </cell>
        </row>
        <row r="126">
          <cell r="A126">
            <v>132</v>
          </cell>
          <cell r="B126">
            <v>2089.34</v>
          </cell>
        </row>
        <row r="127">
          <cell r="A127">
            <v>133</v>
          </cell>
          <cell r="B127">
            <v>2091.15</v>
          </cell>
        </row>
        <row r="128">
          <cell r="A128">
            <v>134</v>
          </cell>
          <cell r="B128">
            <v>2091.15</v>
          </cell>
        </row>
        <row r="129">
          <cell r="A129">
            <v>136</v>
          </cell>
          <cell r="B129">
            <v>2069.61</v>
          </cell>
        </row>
        <row r="130">
          <cell r="A130">
            <v>137</v>
          </cell>
          <cell r="B130">
            <v>2080.23</v>
          </cell>
        </row>
        <row r="131">
          <cell r="A131">
            <v>138</v>
          </cell>
          <cell r="B131">
            <v>2079.92</v>
          </cell>
        </row>
        <row r="132">
          <cell r="A132">
            <v>139</v>
          </cell>
          <cell r="B132">
            <v>2080.23</v>
          </cell>
        </row>
        <row r="133">
          <cell r="A133">
            <v>140</v>
          </cell>
          <cell r="B133">
            <v>2107.33</v>
          </cell>
        </row>
        <row r="134">
          <cell r="A134">
            <v>141</v>
          </cell>
          <cell r="B134">
            <v>2110.23</v>
          </cell>
        </row>
        <row r="135">
          <cell r="A135">
            <v>142</v>
          </cell>
          <cell r="B135">
            <v>2108.64</v>
          </cell>
        </row>
        <row r="136">
          <cell r="A136">
            <v>143</v>
          </cell>
          <cell r="B136">
            <v>2108.64</v>
          </cell>
        </row>
        <row r="137">
          <cell r="A137">
            <v>144</v>
          </cell>
          <cell r="B137">
            <v>2074.35</v>
          </cell>
        </row>
        <row r="138">
          <cell r="A138">
            <v>146</v>
          </cell>
          <cell r="B138">
            <v>2115.83</v>
          </cell>
        </row>
        <row r="139">
          <cell r="A139">
            <v>147</v>
          </cell>
          <cell r="B139">
            <v>2116.12</v>
          </cell>
        </row>
        <row r="140">
          <cell r="A140">
            <v>148</v>
          </cell>
          <cell r="B140">
            <v>2115.91</v>
          </cell>
        </row>
        <row r="141">
          <cell r="A141">
            <v>149</v>
          </cell>
          <cell r="B141">
            <v>2107.7600000000002</v>
          </cell>
        </row>
        <row r="142">
          <cell r="A142">
            <v>150</v>
          </cell>
          <cell r="B142">
            <v>2107.37</v>
          </cell>
        </row>
        <row r="143">
          <cell r="A143">
            <v>151</v>
          </cell>
          <cell r="B143">
            <v>2100.98</v>
          </cell>
        </row>
        <row r="144">
          <cell r="A144">
            <v>152</v>
          </cell>
          <cell r="B144">
            <v>2100.29</v>
          </cell>
        </row>
        <row r="145">
          <cell r="A145">
            <v>153</v>
          </cell>
          <cell r="B145">
            <v>2107.9899999999998</v>
          </cell>
        </row>
        <row r="146">
          <cell r="A146">
            <v>154</v>
          </cell>
          <cell r="B146">
            <v>2107.4699999999998</v>
          </cell>
        </row>
        <row r="147">
          <cell r="A147">
            <v>155</v>
          </cell>
          <cell r="B147">
            <v>2107.5700000000002</v>
          </cell>
        </row>
        <row r="148">
          <cell r="A148">
            <v>156</v>
          </cell>
          <cell r="B148">
            <v>2089.34</v>
          </cell>
        </row>
        <row r="149">
          <cell r="A149">
            <v>157</v>
          </cell>
          <cell r="B149">
            <v>2090.04</v>
          </cell>
        </row>
        <row r="150">
          <cell r="A150">
            <v>158</v>
          </cell>
          <cell r="B150">
            <v>2095.1999999999998</v>
          </cell>
        </row>
        <row r="151">
          <cell r="A151">
            <v>159</v>
          </cell>
          <cell r="B151">
            <v>2095.4</v>
          </cell>
        </row>
        <row r="152">
          <cell r="A152">
            <v>7</v>
          </cell>
          <cell r="B152">
            <v>2091.27</v>
          </cell>
        </row>
        <row r="153">
          <cell r="A153">
            <v>70</v>
          </cell>
          <cell r="B153">
            <v>2100.19</v>
          </cell>
        </row>
        <row r="154">
          <cell r="A154" t="str">
            <v>Tq</v>
          </cell>
          <cell r="B154">
            <v>2190.11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catoma"/>
      <sheetName val="Condución PVC"/>
      <sheetName val="Tanque"/>
      <sheetName val="PTO BOCA-COND"/>
      <sheetName val="PTO TANQ.DE ALM"/>
      <sheetName val="PTO REDES"/>
      <sheetName val="PTO REDES BA"/>
      <sheetName val="Inversión Acdto"/>
      <sheetName val="CANT OBRA "/>
      <sheetName val="APU "/>
      <sheetName val="Base de Diseño"/>
      <sheetName val="Hoja2"/>
      <sheetName val="VISC"/>
      <sheetName val="Condución_PVC"/>
      <sheetName val="PTO_BOCA-COND"/>
      <sheetName val="PTO_TANQ_DE_ALM"/>
      <sheetName val="PTO_REDES"/>
      <sheetName val="PTO_REDES_BA"/>
      <sheetName val="Inversión_Acdto"/>
      <sheetName val="CANT_OBRA_"/>
      <sheetName val="APU_"/>
      <sheetName val="Base_de_Diseño"/>
      <sheetName val="Condución_PVC1"/>
      <sheetName val="PTO_BOCA-COND1"/>
      <sheetName val="PTO_TANQ_DE_ALM1"/>
      <sheetName val="PTO_REDES1"/>
      <sheetName val="PTO_REDES_BA1"/>
      <sheetName val="Inversión_Acdto1"/>
      <sheetName val="CANT_OBRA_1"/>
      <sheetName val="APU_1"/>
      <sheetName val="Base_de_Diseño1"/>
      <sheetName val="Condución_PVC5"/>
      <sheetName val="PTO_BOCA-COND5"/>
      <sheetName val="PTO_TANQ_DE_ALM5"/>
      <sheetName val="PTO_REDES5"/>
      <sheetName val="PTO_REDES_BA5"/>
      <sheetName val="Inversión_Acdto5"/>
      <sheetName val="CANT_OBRA_5"/>
      <sheetName val="APU_5"/>
      <sheetName val="Base_de_Diseño5"/>
      <sheetName val="Condución_PVC2"/>
      <sheetName val="PTO_BOCA-COND2"/>
      <sheetName val="PTO_TANQ_DE_ALM2"/>
      <sheetName val="PTO_REDES2"/>
      <sheetName val="PTO_REDES_BA2"/>
      <sheetName val="Inversión_Acdto2"/>
      <sheetName val="CANT_OBRA_2"/>
      <sheetName val="APU_2"/>
      <sheetName val="Base_de_Diseño2"/>
      <sheetName val="Condución_PVC3"/>
      <sheetName val="PTO_BOCA-COND3"/>
      <sheetName val="PTO_TANQ_DE_ALM3"/>
      <sheetName val="PTO_REDES3"/>
      <sheetName val="PTO_REDES_BA3"/>
      <sheetName val="Inversión_Acdto3"/>
      <sheetName val="CANT_OBRA_3"/>
      <sheetName val="APU_3"/>
      <sheetName val="Base_de_Diseño3"/>
      <sheetName val="Condución_PVC4"/>
      <sheetName val="PTO_BOCA-COND4"/>
      <sheetName val="PTO_TANQ_DE_ALM4"/>
      <sheetName val="PTO_REDES4"/>
      <sheetName val="PTO_REDES_BA4"/>
      <sheetName val="Inversión_Acdto4"/>
      <sheetName val="CANT_OBRA_4"/>
      <sheetName val="APU_4"/>
      <sheetName val="Base_de_Diseño4"/>
      <sheetName val="Condución_PVC6"/>
      <sheetName val="PTO_BOCA-COND6"/>
      <sheetName val="PTO_TANQ_DE_ALM6"/>
      <sheetName val="PTO_REDES6"/>
      <sheetName val="PTO_REDES_BA6"/>
      <sheetName val="Inversión_Acdto6"/>
      <sheetName val="CANT_OBRA_6"/>
      <sheetName val="APU_6"/>
      <sheetName val="Base_de_Diseño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A1" t="str">
            <v>Name</v>
          </cell>
          <cell r="B1" t="str">
            <v>North</v>
          </cell>
          <cell r="C1" t="str">
            <v>East</v>
          </cell>
          <cell r="D1" t="str">
            <v>Zeta</v>
          </cell>
        </row>
        <row r="2">
          <cell r="A2" t="str">
            <v>E 1</v>
          </cell>
          <cell r="B2">
            <v>1198640</v>
          </cell>
          <cell r="C2">
            <v>1156060</v>
          </cell>
          <cell r="D2">
            <v>2550</v>
          </cell>
        </row>
        <row r="3">
          <cell r="A3" t="str">
            <v>E 2</v>
          </cell>
          <cell r="B3">
            <v>1198661.4314833826</v>
          </cell>
          <cell r="C3">
            <v>1156068.3521955032</v>
          </cell>
          <cell r="D3">
            <v>2545.1046240562905</v>
          </cell>
        </row>
        <row r="4">
          <cell r="A4" t="str">
            <v>E 3</v>
          </cell>
          <cell r="B4">
            <v>1198683.586271784</v>
          </cell>
          <cell r="C4">
            <v>1156071.7747893706</v>
          </cell>
          <cell r="D4">
            <v>2543.7430088693109</v>
          </cell>
        </row>
        <row r="5">
          <cell r="A5" t="str">
            <v>E 4</v>
          </cell>
          <cell r="B5">
            <v>1198698.1670580145</v>
          </cell>
          <cell r="C5">
            <v>1156081.3966551002</v>
          </cell>
          <cell r="D5">
            <v>2538.5431524070723</v>
          </cell>
        </row>
        <row r="6">
          <cell r="A6" t="str">
            <v>E 5</v>
          </cell>
          <cell r="B6">
            <v>1198736.3187798336</v>
          </cell>
          <cell r="C6">
            <v>1156098.3968606419</v>
          </cell>
          <cell r="D6">
            <v>2525.3241544755488</v>
          </cell>
        </row>
        <row r="7">
          <cell r="A7" t="str">
            <v>E 6</v>
          </cell>
          <cell r="B7">
            <v>1198797.1544322704</v>
          </cell>
          <cell r="C7">
            <v>1156159.0675707262</v>
          </cell>
          <cell r="D7">
            <v>2476.4892245824485</v>
          </cell>
        </row>
        <row r="8">
          <cell r="A8" t="str">
            <v>E 7</v>
          </cell>
          <cell r="B8">
            <v>1198870.1339611248</v>
          </cell>
          <cell r="C8">
            <v>1156211.0742659138</v>
          </cell>
          <cell r="D8">
            <v>2440.1465126943672</v>
          </cell>
        </row>
        <row r="9">
          <cell r="A9" t="str">
            <v>E 8</v>
          </cell>
          <cell r="B9">
            <v>1198912.005967923</v>
          </cell>
          <cell r="C9">
            <v>1156281.1683285895</v>
          </cell>
          <cell r="D9">
            <v>2396.6195408709491</v>
          </cell>
        </row>
        <row r="10">
          <cell r="A10" t="str">
            <v>E 9</v>
          </cell>
          <cell r="B10">
            <v>1198929.4387574408</v>
          </cell>
          <cell r="C10">
            <v>1156292.470221336</v>
          </cell>
          <cell r="D10">
            <v>2405.4598504983906</v>
          </cell>
        </row>
        <row r="11">
          <cell r="A11" t="str">
            <v>E 10</v>
          </cell>
          <cell r="B11">
            <v>1198959.5201276727</v>
          </cell>
          <cell r="C11">
            <v>1156292.0501788759</v>
          </cell>
          <cell r="D11">
            <v>2407.3290903378183</v>
          </cell>
        </row>
        <row r="12">
          <cell r="A12" t="str">
            <v>E 11</v>
          </cell>
          <cell r="B12">
            <v>1198969.6578653136</v>
          </cell>
          <cell r="C12">
            <v>1156296.5703879667</v>
          </cell>
          <cell r="D12">
            <v>2408.6289055529542</v>
          </cell>
        </row>
        <row r="13">
          <cell r="A13" t="str">
            <v>E 12</v>
          </cell>
          <cell r="B13">
            <v>1198997.1656322635</v>
          </cell>
          <cell r="C13">
            <v>1156318.0714770283</v>
          </cell>
          <cell r="D13">
            <v>2410.3657641319828</v>
          </cell>
        </row>
        <row r="14">
          <cell r="A14" t="str">
            <v>E 13</v>
          </cell>
          <cell r="B14">
            <v>1199014.6888316069</v>
          </cell>
          <cell r="C14">
            <v>1156366.7144359644</v>
          </cell>
          <cell r="D14">
            <v>2418.656790779115</v>
          </cell>
        </row>
        <row r="15">
          <cell r="A15" t="str">
            <v>E 14</v>
          </cell>
          <cell r="B15">
            <v>1199045.5391627883</v>
          </cell>
          <cell r="C15">
            <v>1156394.2185225531</v>
          </cell>
          <cell r="D15">
            <v>2413.3544141438406</v>
          </cell>
        </row>
        <row r="16">
          <cell r="A16" t="str">
            <v>E 15</v>
          </cell>
          <cell r="B16">
            <v>1199072.6851913074</v>
          </cell>
          <cell r="C16">
            <v>1156403.7376346891</v>
          </cell>
          <cell r="D16">
            <v>2412.374426449378</v>
          </cell>
        </row>
        <row r="17">
          <cell r="A17" t="str">
            <v>E 16</v>
          </cell>
          <cell r="B17">
            <v>1199109.1054662245</v>
          </cell>
          <cell r="C17">
            <v>1156404.662002966</v>
          </cell>
          <cell r="D17">
            <v>2410.2977053058694</v>
          </cell>
        </row>
        <row r="18">
          <cell r="A18" t="str">
            <v>E 17</v>
          </cell>
          <cell r="B18">
            <v>1199146.7301672616</v>
          </cell>
          <cell r="C18">
            <v>1156419.2380378852</v>
          </cell>
          <cell r="D18">
            <v>2414.0748706577365</v>
          </cell>
        </row>
        <row r="19">
          <cell r="A19" t="str">
            <v>E 18</v>
          </cell>
          <cell r="B19">
            <v>1199155.218049777</v>
          </cell>
          <cell r="C19">
            <v>1156421.6727897346</v>
          </cell>
          <cell r="D19">
            <v>2412.5079255404767</v>
          </cell>
        </row>
        <row r="20">
          <cell r="A20" t="str">
            <v>E 19</v>
          </cell>
          <cell r="B20">
            <v>1199169.9025881013</v>
          </cell>
          <cell r="C20">
            <v>1156446.3989092207</v>
          </cell>
          <cell r="D20">
            <v>2405.9085691368978</v>
          </cell>
        </row>
        <row r="21">
          <cell r="A21" t="str">
            <v>E 20</v>
          </cell>
          <cell r="B21">
            <v>1199298.650311891</v>
          </cell>
          <cell r="C21">
            <v>1156463.8730267235</v>
          </cell>
          <cell r="D21">
            <v>2408.9650377332209</v>
          </cell>
        </row>
        <row r="22">
          <cell r="A22" t="str">
            <v>E 21</v>
          </cell>
          <cell r="B22">
            <v>1199373.198706822</v>
          </cell>
          <cell r="C22">
            <v>1156498.8760566739</v>
          </cell>
          <cell r="D22">
            <v>2412.3997980423665</v>
          </cell>
        </row>
        <row r="23">
          <cell r="A23" t="str">
            <v>E 22</v>
          </cell>
          <cell r="B23">
            <v>1199441.4786268498</v>
          </cell>
          <cell r="C23">
            <v>1156545.3187344507</v>
          </cell>
          <cell r="D23">
            <v>2436.802798203616</v>
          </cell>
        </row>
        <row r="24">
          <cell r="A24" t="str">
            <v>E 23</v>
          </cell>
          <cell r="B24">
            <v>1199521.2996775832</v>
          </cell>
          <cell r="C24">
            <v>1156548.5618900547</v>
          </cell>
          <cell r="D24">
            <v>2464.4118288048576</v>
          </cell>
        </row>
        <row r="25">
          <cell r="A25" t="str">
            <v>E 24</v>
          </cell>
          <cell r="B25">
            <v>1199572.2389211939</v>
          </cell>
          <cell r="C25">
            <v>1156571.0494265996</v>
          </cell>
          <cell r="D25">
            <v>2473.0790380116791</v>
          </cell>
        </row>
        <row r="26">
          <cell r="A26" t="str">
            <v>E 25</v>
          </cell>
          <cell r="B26">
            <v>1199603.4357596841</v>
          </cell>
          <cell r="C26">
            <v>1156603.7219986247</v>
          </cell>
          <cell r="D26">
            <v>2477.979364855566</v>
          </cell>
        </row>
        <row r="27">
          <cell r="A27" t="str">
            <v>E 26</v>
          </cell>
          <cell r="B27">
            <v>1199701.4847613908</v>
          </cell>
          <cell r="C27">
            <v>1156655.3262834204</v>
          </cell>
          <cell r="D27">
            <v>2489.5731431741115</v>
          </cell>
        </row>
        <row r="28">
          <cell r="A28" t="str">
            <v>E 27</v>
          </cell>
          <cell r="B28">
            <v>1199788.6923681123</v>
          </cell>
          <cell r="C28">
            <v>1156699.5267066755</v>
          </cell>
          <cell r="D28">
            <v>2498.0566500024424</v>
          </cell>
        </row>
        <row r="29">
          <cell r="A29" t="str">
            <v>E 28</v>
          </cell>
          <cell r="B29">
            <v>1199956.8116079145</v>
          </cell>
          <cell r="C29">
            <v>1156733.4509385289</v>
          </cell>
          <cell r="D29">
            <v>2526.1746814342487</v>
          </cell>
        </row>
        <row r="30">
          <cell r="A30" t="str">
            <v>E29</v>
          </cell>
          <cell r="B30">
            <v>1199980.2646430244</v>
          </cell>
          <cell r="C30">
            <v>1156722.4720818489</v>
          </cell>
          <cell r="D30">
            <v>2526.5137019595463</v>
          </cell>
        </row>
        <row r="31">
          <cell r="A31" t="str">
            <v>E 30</v>
          </cell>
          <cell r="B31">
            <v>1200044.6801509394</v>
          </cell>
          <cell r="C31">
            <v>1156678.4964718393</v>
          </cell>
          <cell r="D31">
            <v>2527.1414319375754</v>
          </cell>
        </row>
        <row r="32">
          <cell r="A32" t="str">
            <v>E 31</v>
          </cell>
          <cell r="B32">
            <v>1200136.8110802278</v>
          </cell>
          <cell r="C32">
            <v>1156607.2182229683</v>
          </cell>
          <cell r="D32">
            <v>2528.4743495898706</v>
          </cell>
        </row>
        <row r="33">
          <cell r="A33" t="str">
            <v>E 32</v>
          </cell>
          <cell r="B33">
            <v>1200162.5207158499</v>
          </cell>
          <cell r="C33">
            <v>1156596.6185593507</v>
          </cell>
          <cell r="D33">
            <v>2529.543450072958</v>
          </cell>
        </row>
        <row r="34">
          <cell r="A34" t="str">
            <v>E 33</v>
          </cell>
          <cell r="B34">
            <v>1200175.6344881034</v>
          </cell>
          <cell r="C34">
            <v>1156604.8501298656</v>
          </cell>
          <cell r="D34">
            <v>2529.0333000633195</v>
          </cell>
        </row>
        <row r="35">
          <cell r="A35" t="str">
            <v>E 34</v>
          </cell>
          <cell r="B35">
            <v>1200185.7576149923</v>
          </cell>
          <cell r="C35">
            <v>1156626.4035404285</v>
          </cell>
          <cell r="D35">
            <v>2527.5858055742556</v>
          </cell>
        </row>
        <row r="36">
          <cell r="A36" t="str">
            <v>E 35</v>
          </cell>
          <cell r="B36">
            <v>1200196.636358859</v>
          </cell>
          <cell r="C36">
            <v>1156658.1777511265</v>
          </cell>
          <cell r="D36">
            <v>2522.9993702856968</v>
          </cell>
        </row>
        <row r="37">
          <cell r="A37" t="str">
            <v>E 36</v>
          </cell>
          <cell r="B37">
            <v>1200214.8943246687</v>
          </cell>
          <cell r="C37">
            <v>1156670.5470704213</v>
          </cell>
          <cell r="D37">
            <v>2524.4619796295628</v>
          </cell>
        </row>
        <row r="38">
          <cell r="A38" t="str">
            <v>E 37</v>
          </cell>
          <cell r="B38">
            <v>1200227.4525368223</v>
          </cell>
          <cell r="C38">
            <v>1156676.5126103323</v>
          </cell>
          <cell r="D38">
            <v>2526.515243746564</v>
          </cell>
        </row>
        <row r="39">
          <cell r="A39" t="str">
            <v>E 38</v>
          </cell>
          <cell r="B39">
            <v>1200245.0926652306</v>
          </cell>
          <cell r="C39">
            <v>1156686.3057915287</v>
          </cell>
          <cell r="D39">
            <v>2525.8224102553554</v>
          </cell>
        </row>
        <row r="40">
          <cell r="A40" t="str">
            <v>E 39</v>
          </cell>
          <cell r="B40">
            <v>1200263.0483829228</v>
          </cell>
          <cell r="C40">
            <v>1156709.0382745424</v>
          </cell>
          <cell r="D40">
            <v>2524.8665308469367</v>
          </cell>
        </row>
        <row r="41">
          <cell r="A41" t="str">
            <v>E 41</v>
          </cell>
          <cell r="B41">
            <v>1200410.2710751474</v>
          </cell>
          <cell r="C41">
            <v>1156789.9855081504</v>
          </cell>
          <cell r="D41">
            <v>2520.745140985654</v>
          </cell>
        </row>
        <row r="42">
          <cell r="A42" t="str">
            <v>E 42</v>
          </cell>
          <cell r="B42">
            <v>1200427.8152201665</v>
          </cell>
          <cell r="C42">
            <v>1156804.1999423217</v>
          </cell>
          <cell r="D42">
            <v>2522.3970014328224</v>
          </cell>
        </row>
        <row r="43">
          <cell r="A43" t="str">
            <v>E 43</v>
          </cell>
          <cell r="B43">
            <v>1200443.419138185</v>
          </cell>
          <cell r="C43">
            <v>1156826.4880962861</v>
          </cell>
          <cell r="D43">
            <v>2523.4740919172491</v>
          </cell>
        </row>
        <row r="44">
          <cell r="A44" t="str">
            <v>E 44</v>
          </cell>
          <cell r="B44">
            <v>1200460.2974662515</v>
          </cell>
          <cell r="C44">
            <v>1156842.8395745573</v>
          </cell>
          <cell r="D44">
            <v>2523.4495967104467</v>
          </cell>
        </row>
        <row r="45">
          <cell r="A45" t="str">
            <v>E 45</v>
          </cell>
          <cell r="B45">
            <v>1200468.2695589254</v>
          </cell>
          <cell r="C45">
            <v>1156856.8799684118</v>
          </cell>
          <cell r="D45">
            <v>2521.032104719337</v>
          </cell>
        </row>
        <row r="46">
          <cell r="A46" t="str">
            <v>E 46</v>
          </cell>
          <cell r="B46">
            <v>1200476.6167207242</v>
          </cell>
          <cell r="C46">
            <v>1156874.3627035725</v>
          </cell>
          <cell r="D46">
            <v>2525.1188178440757</v>
          </cell>
        </row>
        <row r="47">
          <cell r="A47" t="str">
            <v>E 47</v>
          </cell>
          <cell r="B47">
            <v>1200485.5136852486</v>
          </cell>
          <cell r="C47">
            <v>1156888.2938358786</v>
          </cell>
          <cell r="D47">
            <v>2522.2913882734438</v>
          </cell>
        </row>
        <row r="48">
          <cell r="A48" t="str">
            <v>E 48</v>
          </cell>
          <cell r="B48">
            <v>1200495.2845766561</v>
          </cell>
          <cell r="C48">
            <v>1156919.8395358517</v>
          </cell>
          <cell r="D48">
            <v>2530.6070980262871</v>
          </cell>
        </row>
        <row r="49">
          <cell r="A49" t="str">
            <v>E 49</v>
          </cell>
          <cell r="B49">
            <v>1200494.4885837378</v>
          </cell>
          <cell r="C49">
            <v>1156929.4927303381</v>
          </cell>
          <cell r="D49">
            <v>2530.9761702945561</v>
          </cell>
        </row>
        <row r="50">
          <cell r="A50" t="str">
            <v>E 50</v>
          </cell>
          <cell r="B50">
            <v>1200513.6383498514</v>
          </cell>
          <cell r="C50">
            <v>1156948.3275848073</v>
          </cell>
          <cell r="D50">
            <v>2532.9196575334759</v>
          </cell>
        </row>
        <row r="51">
          <cell r="A51" t="str">
            <v>E 51</v>
          </cell>
          <cell r="B51">
            <v>1200527.8018260011</v>
          </cell>
          <cell r="C51">
            <v>1156951.6575679844</v>
          </cell>
          <cell r="D51">
            <v>2532.8501755128191</v>
          </cell>
        </row>
        <row r="52">
          <cell r="A52" t="str">
            <v>E 52</v>
          </cell>
          <cell r="B52">
            <v>1200555.8606089833</v>
          </cell>
          <cell r="C52">
            <v>1156965.6293315708</v>
          </cell>
          <cell r="D52">
            <v>2539.633655583702</v>
          </cell>
        </row>
        <row r="53">
          <cell r="A53" t="str">
            <v>E 53</v>
          </cell>
          <cell r="B53">
            <v>1200588.968307907</v>
          </cell>
          <cell r="C53">
            <v>1156968.3383526683</v>
          </cell>
          <cell r="D53">
            <v>2536.052654585189</v>
          </cell>
        </row>
        <row r="54">
          <cell r="A54" t="str">
            <v>E 54</v>
          </cell>
          <cell r="B54">
            <v>1200636.4165721599</v>
          </cell>
          <cell r="C54">
            <v>1156935.6796077611</v>
          </cell>
          <cell r="D54">
            <v>2524.0563747214169</v>
          </cell>
        </row>
        <row r="55">
          <cell r="A55" t="str">
            <v>E 56</v>
          </cell>
          <cell r="B55">
            <v>1200693.9773621943</v>
          </cell>
          <cell r="C55">
            <v>1156907.2694783767</v>
          </cell>
          <cell r="D55">
            <v>2519.9643090939949</v>
          </cell>
        </row>
        <row r="56">
          <cell r="A56" t="str">
            <v>E 57</v>
          </cell>
          <cell r="B56">
            <v>1200828.4679483431</v>
          </cell>
          <cell r="C56">
            <v>1156873.6610171979</v>
          </cell>
          <cell r="D56">
            <v>2512.7569087757802</v>
          </cell>
        </row>
        <row r="57">
          <cell r="A57" t="str">
            <v>E 58</v>
          </cell>
          <cell r="B57">
            <v>1200910.4893043702</v>
          </cell>
          <cell r="C57">
            <v>1156924.935768188</v>
          </cell>
          <cell r="D57">
            <v>2514.1640308735709</v>
          </cell>
        </row>
        <row r="58">
          <cell r="A58" t="str">
            <v>E 59</v>
          </cell>
          <cell r="B58">
            <v>1201009.0339333627</v>
          </cell>
          <cell r="C58">
            <v>1156969.0765534306</v>
          </cell>
          <cell r="D58">
            <v>2515.6719463501986</v>
          </cell>
        </row>
        <row r="59">
          <cell r="A59" t="str">
            <v>E 60</v>
          </cell>
          <cell r="B59">
            <v>1201158.8053361846</v>
          </cell>
          <cell r="C59">
            <v>1156997.7109470337</v>
          </cell>
          <cell r="D59">
            <v>2514.1149215443006</v>
          </cell>
        </row>
        <row r="60">
          <cell r="A60" t="str">
            <v>E 61</v>
          </cell>
          <cell r="B60">
            <v>1201236.5577927362</v>
          </cell>
          <cell r="C60">
            <v>1156974.4457112809</v>
          </cell>
          <cell r="D60">
            <v>2515.4459357619758</v>
          </cell>
        </row>
        <row r="61">
          <cell r="A61" t="str">
            <v>TANQUE</v>
          </cell>
          <cell r="B61">
            <v>1201223.0777387635</v>
          </cell>
          <cell r="C61">
            <v>1156997.6346046545</v>
          </cell>
          <cell r="D61">
            <v>2515.4459357619758</v>
          </cell>
        </row>
        <row r="62">
          <cell r="A62" t="str">
            <v>E 63</v>
          </cell>
          <cell r="B62">
            <v>1201329.7340078545</v>
          </cell>
          <cell r="C62">
            <v>1157002.9621789558</v>
          </cell>
          <cell r="D62">
            <v>2499.4530312399193</v>
          </cell>
        </row>
        <row r="63">
          <cell r="A63" t="str">
            <v>E 64</v>
          </cell>
          <cell r="B63">
            <v>1201410.1940114372</v>
          </cell>
          <cell r="C63">
            <v>1157056.6110600331</v>
          </cell>
          <cell r="D63">
            <v>2494.1111248591005</v>
          </cell>
        </row>
        <row r="64">
          <cell r="A64" t="str">
            <v>E 65</v>
          </cell>
          <cell r="B64">
            <v>1201456.7728091641</v>
          </cell>
          <cell r="C64">
            <v>1157077.2427571008</v>
          </cell>
          <cell r="D64">
            <v>2495.8069813297693</v>
          </cell>
        </row>
        <row r="65">
          <cell r="A65" t="str">
            <v>E 66</v>
          </cell>
          <cell r="B65">
            <v>1201524.1942204738</v>
          </cell>
          <cell r="C65">
            <v>1157073.8030849809</v>
          </cell>
          <cell r="D65">
            <v>2485.6643794112151</v>
          </cell>
        </row>
        <row r="66">
          <cell r="A66" t="str">
            <v>E 67</v>
          </cell>
          <cell r="B66">
            <v>1201624.6767403781</v>
          </cell>
          <cell r="C66">
            <v>1157090.9889045537</v>
          </cell>
          <cell r="D66">
            <v>2471.0331145625109</v>
          </cell>
        </row>
        <row r="67">
          <cell r="A67" t="str">
            <v>E 68</v>
          </cell>
          <cell r="B67">
            <v>1201740.8944677503</v>
          </cell>
          <cell r="C67">
            <v>1157104.4260477917</v>
          </cell>
          <cell r="D67">
            <v>2455.5748598036562</v>
          </cell>
        </row>
        <row r="68">
          <cell r="A68" t="str">
            <v>E 69</v>
          </cell>
          <cell r="B68">
            <v>1201767.9082942279</v>
          </cell>
          <cell r="C68">
            <v>1157084.5400441966</v>
          </cell>
          <cell r="D68">
            <v>2449.2413625378786</v>
          </cell>
        </row>
        <row r="69">
          <cell r="A69" t="str">
            <v>E 70</v>
          </cell>
          <cell r="B69">
            <v>1201801.3983906147</v>
          </cell>
          <cell r="C69">
            <v>1157064.4701631886</v>
          </cell>
          <cell r="D69">
            <v>2450.7290662171895</v>
          </cell>
        </row>
        <row r="70">
          <cell r="A70" t="str">
            <v>E 71</v>
          </cell>
          <cell r="B70">
            <v>1201844.8558655567</v>
          </cell>
          <cell r="C70">
            <v>1157068.5653501705</v>
          </cell>
          <cell r="D70">
            <v>2448.6374382848117</v>
          </cell>
        </row>
        <row r="71">
          <cell r="A71" t="str">
            <v>E 72</v>
          </cell>
          <cell r="B71">
            <v>1201883.660074306</v>
          </cell>
          <cell r="C71">
            <v>1157059.8402101472</v>
          </cell>
          <cell r="D71">
            <v>2444.4945160042294</v>
          </cell>
        </row>
        <row r="72">
          <cell r="A72" t="str">
            <v>E 73</v>
          </cell>
          <cell r="B72">
            <v>1202017.8484438281</v>
          </cell>
          <cell r="C72">
            <v>1157027.9613910771</v>
          </cell>
          <cell r="D72">
            <v>2441.2365798892761</v>
          </cell>
        </row>
        <row r="73">
          <cell r="A73" t="str">
            <v>E 74</v>
          </cell>
          <cell r="B73">
            <v>1202118.2784571757</v>
          </cell>
          <cell r="C73">
            <v>1157017.5288250018</v>
          </cell>
          <cell r="D73">
            <v>2426.7781364565503</v>
          </cell>
        </row>
        <row r="74">
          <cell r="A74" t="str">
            <v>E 75</v>
          </cell>
          <cell r="B74">
            <v>1202258.4071790825</v>
          </cell>
          <cell r="C74">
            <v>1156925.9378520846</v>
          </cell>
          <cell r="D74">
            <v>2410.3681708084036</v>
          </cell>
        </row>
        <row r="75">
          <cell r="A75" t="str">
            <v>E 76</v>
          </cell>
          <cell r="B75">
            <v>1202323.5447882202</v>
          </cell>
          <cell r="C75">
            <v>1156842.8871709555</v>
          </cell>
          <cell r="D75">
            <v>2394.0941138854596</v>
          </cell>
        </row>
        <row r="76">
          <cell r="A76" t="str">
            <v>E 77</v>
          </cell>
          <cell r="B76">
            <v>1202412.7836709954</v>
          </cell>
          <cell r="C76">
            <v>1156756.1692606518</v>
          </cell>
          <cell r="D76">
            <v>2391.2061802686144</v>
          </cell>
        </row>
        <row r="77">
          <cell r="A77" t="str">
            <v>E 78</v>
          </cell>
          <cell r="B77">
            <v>1202439.1360077332</v>
          </cell>
          <cell r="C77">
            <v>1156723.8421072371</v>
          </cell>
          <cell r="D77">
            <v>2385.4015255408476</v>
          </cell>
        </row>
        <row r="78">
          <cell r="A78" t="str">
            <v>E 79</v>
          </cell>
          <cell r="B78">
            <v>1202561.419794491</v>
          </cell>
          <cell r="C78">
            <v>1156615.9553988799</v>
          </cell>
          <cell r="D78">
            <v>2348.5846277771839</v>
          </cell>
        </row>
        <row r="79">
          <cell r="A79" t="str">
            <v>E80A</v>
          </cell>
          <cell r="B79">
            <v>1202619.8500000001</v>
          </cell>
          <cell r="C79">
            <v>1156534.6229999999</v>
          </cell>
          <cell r="D79">
            <v>2317.4856465617436</v>
          </cell>
        </row>
        <row r="80">
          <cell r="A80" t="str">
            <v>E127</v>
          </cell>
          <cell r="B80">
            <v>1202652.0113594693</v>
          </cell>
          <cell r="C80">
            <v>1156436.2368778361</v>
          </cell>
          <cell r="D80">
            <v>2304.5038364206489</v>
          </cell>
        </row>
        <row r="81">
          <cell r="A81" t="str">
            <v>E128</v>
          </cell>
          <cell r="B81">
            <v>1202651.7579246738</v>
          </cell>
          <cell r="C81">
            <v>1156405.6395445704</v>
          </cell>
          <cell r="D81">
            <v>2299.948682216856</v>
          </cell>
        </row>
        <row r="82">
          <cell r="A82" t="str">
            <v>E 81</v>
          </cell>
          <cell r="B82">
            <v>1202660.3728691745</v>
          </cell>
          <cell r="C82">
            <v>1156382.2248110771</v>
          </cell>
          <cell r="D82">
            <v>2298.3571462635655</v>
          </cell>
        </row>
        <row r="83">
          <cell r="A83" t="str">
            <v>E129</v>
          </cell>
          <cell r="B83">
            <v>1202682.5453559035</v>
          </cell>
          <cell r="C83">
            <v>1156346.1133751874</v>
          </cell>
          <cell r="D83">
            <v>2289.5045121793346</v>
          </cell>
        </row>
        <row r="84">
          <cell r="A84" t="str">
            <v>E130</v>
          </cell>
          <cell r="B84">
            <v>1202692.9902001237</v>
          </cell>
          <cell r="C84">
            <v>1156290.5403181058</v>
          </cell>
          <cell r="D84">
            <v>2274.0640717290662</v>
          </cell>
        </row>
        <row r="85">
          <cell r="A85" t="str">
            <v>E132</v>
          </cell>
          <cell r="B85">
            <v>1202714.5075197327</v>
          </cell>
          <cell r="C85">
            <v>1156215.6154882633</v>
          </cell>
          <cell r="D85">
            <v>2261.493430221587</v>
          </cell>
        </row>
        <row r="86">
          <cell r="A86" t="str">
            <v>E133</v>
          </cell>
          <cell r="B86">
            <v>1202762.5919691478</v>
          </cell>
          <cell r="C86">
            <v>1156146.0104082164</v>
          </cell>
          <cell r="D86">
            <v>2250.9637334111858</v>
          </cell>
        </row>
        <row r="87">
          <cell r="A87" t="str">
            <v>E134</v>
          </cell>
          <cell r="B87">
            <v>1202746.6763642642</v>
          </cell>
          <cell r="C87">
            <v>1156115.554587173</v>
          </cell>
          <cell r="D87">
            <v>2246.7461162573441</v>
          </cell>
        </row>
        <row r="88">
          <cell r="A88" t="str">
            <v>E135</v>
          </cell>
          <cell r="B88">
            <v>1202717.3957928275</v>
          </cell>
          <cell r="C88">
            <v>1156100.2693209024</v>
          </cell>
          <cell r="D88">
            <v>2245.3879312571803</v>
          </cell>
        </row>
        <row r="89">
          <cell r="A89" t="str">
            <v>E136</v>
          </cell>
          <cell r="B89">
            <v>1202659.2287504165</v>
          </cell>
          <cell r="C89">
            <v>1156054.4602618862</v>
          </cell>
          <cell r="D89">
            <v>2233.4576224904363</v>
          </cell>
        </row>
        <row r="90">
          <cell r="A90" t="str">
            <v>E137</v>
          </cell>
          <cell r="B90">
            <v>1202636.0846501845</v>
          </cell>
          <cell r="C90">
            <v>1156034.8870973312</v>
          </cell>
          <cell r="D90">
            <v>2233.0910943831077</v>
          </cell>
        </row>
        <row r="91">
          <cell r="A91" t="str">
            <v>E138</v>
          </cell>
          <cell r="B91">
            <v>1202588.0716337475</v>
          </cell>
          <cell r="C91">
            <v>1156019.8439053283</v>
          </cell>
          <cell r="D91">
            <v>2228.8689421967406</v>
          </cell>
        </row>
        <row r="92">
          <cell r="A92" t="str">
            <v>E139</v>
          </cell>
          <cell r="B92">
            <v>1202521.840837135</v>
          </cell>
          <cell r="C92">
            <v>1156025.6832849195</v>
          </cell>
          <cell r="D92">
            <v>2216.3543644555903</v>
          </cell>
        </row>
        <row r="93">
          <cell r="A93" t="str">
            <v>E140</v>
          </cell>
          <cell r="B93">
            <v>1202496.0903670695</v>
          </cell>
          <cell r="C93">
            <v>1156055.3485713762</v>
          </cell>
          <cell r="D93">
            <v>2210.7524898742217</v>
          </cell>
        </row>
        <row r="95">
          <cell r="A95">
            <v>86</v>
          </cell>
          <cell r="B95">
            <v>1201455.0879299478</v>
          </cell>
          <cell r="C95">
            <v>1157036.6709356536</v>
          </cell>
          <cell r="D95">
            <v>2496.7982274880205</v>
          </cell>
        </row>
        <row r="96">
          <cell r="A96">
            <v>87</v>
          </cell>
          <cell r="B96">
            <v>1201523.1753915499</v>
          </cell>
          <cell r="C96">
            <v>1157064.8609382799</v>
          </cell>
          <cell r="D96">
            <v>2485.6643794112151</v>
          </cell>
        </row>
        <row r="97">
          <cell r="A97">
            <v>88</v>
          </cell>
          <cell r="B97">
            <v>1201537.936856657</v>
          </cell>
          <cell r="C97">
            <v>1157066.1330742217</v>
          </cell>
          <cell r="D97">
            <v>2483.6174969903886</v>
          </cell>
        </row>
        <row r="98">
          <cell r="A98">
            <v>203</v>
          </cell>
          <cell r="B98">
            <v>1201685.6526446501</v>
          </cell>
          <cell r="C98">
            <v>1157211.9267090939</v>
          </cell>
          <cell r="D98">
            <v>2285.0005209954352</v>
          </cell>
        </row>
        <row r="99">
          <cell r="A99">
            <v>210</v>
          </cell>
          <cell r="B99">
            <v>1201731.9890232733</v>
          </cell>
          <cell r="C99">
            <v>1156919.782756869</v>
          </cell>
          <cell r="D99">
            <v>2299.6747515096022</v>
          </cell>
        </row>
        <row r="100">
          <cell r="A100">
            <v>209</v>
          </cell>
          <cell r="B100">
            <v>1201732.1412336736</v>
          </cell>
          <cell r="C100">
            <v>1156891.6409350443</v>
          </cell>
          <cell r="D100">
            <v>2299.5581673037705</v>
          </cell>
        </row>
        <row r="101">
          <cell r="A101">
            <v>211</v>
          </cell>
          <cell r="B101">
            <v>1201696.8220173253</v>
          </cell>
          <cell r="C101">
            <v>1156883.2854818371</v>
          </cell>
          <cell r="D101">
            <v>2300.9440968076619</v>
          </cell>
        </row>
        <row r="102">
          <cell r="A102">
            <v>212</v>
          </cell>
          <cell r="B102">
            <v>1201644.879379109</v>
          </cell>
          <cell r="C102">
            <v>1156797.1207006231</v>
          </cell>
          <cell r="D102">
            <v>2324.635327445556</v>
          </cell>
        </row>
        <row r="103">
          <cell r="A103">
            <v>208</v>
          </cell>
          <cell r="B103">
            <v>1201768.6759431229</v>
          </cell>
          <cell r="C103">
            <v>1156905.4145019932</v>
          </cell>
          <cell r="D103">
            <v>2293.8486182029364</v>
          </cell>
        </row>
        <row r="104">
          <cell r="A104">
            <v>207</v>
          </cell>
          <cell r="B104">
            <v>1201775.5443879138</v>
          </cell>
          <cell r="C104">
            <v>1156872.0317861168</v>
          </cell>
          <cell r="D104">
            <v>2286.3429947724708</v>
          </cell>
        </row>
        <row r="105">
          <cell r="A105">
            <v>206</v>
          </cell>
          <cell r="B105">
            <v>1201813.3719176103</v>
          </cell>
          <cell r="C105">
            <v>1156899.1934615038</v>
          </cell>
          <cell r="D105">
            <v>2278.5404555024388</v>
          </cell>
        </row>
        <row r="106">
          <cell r="A106">
            <v>204</v>
          </cell>
          <cell r="B106">
            <v>1201941.9871835229</v>
          </cell>
          <cell r="C106">
            <v>1156865.0948092754</v>
          </cell>
          <cell r="D106">
            <v>2276.1961727152543</v>
          </cell>
        </row>
        <row r="107">
          <cell r="A107">
            <v>213</v>
          </cell>
          <cell r="B107">
            <v>1201869.8376666289</v>
          </cell>
          <cell r="C107">
            <v>1157106.049477889</v>
          </cell>
          <cell r="D107">
            <v>2275.5070727189368</v>
          </cell>
        </row>
        <row r="108">
          <cell r="A108">
            <v>98</v>
          </cell>
          <cell r="B108">
            <v>1201880.301002478</v>
          </cell>
          <cell r="C108">
            <v>1157164.7829104403</v>
          </cell>
          <cell r="D108">
            <v>2443.8836542119552</v>
          </cell>
        </row>
        <row r="109">
          <cell r="A109">
            <v>97</v>
          </cell>
          <cell r="B109">
            <v>1201926.219174315</v>
          </cell>
          <cell r="C109">
            <v>1157138.7160612997</v>
          </cell>
          <cell r="D109">
            <v>2438.6866082614633</v>
          </cell>
        </row>
        <row r="110">
          <cell r="A110">
            <v>102</v>
          </cell>
          <cell r="B110">
            <v>1202012.7157914918</v>
          </cell>
          <cell r="C110">
            <v>1157043.1106470148</v>
          </cell>
          <cell r="D110">
            <v>2441.5158183922726</v>
          </cell>
        </row>
        <row r="111">
          <cell r="A111">
            <v>111</v>
          </cell>
          <cell r="B111">
            <v>1202122.6511351035</v>
          </cell>
          <cell r="C111">
            <v>1157003.589803281</v>
          </cell>
          <cell r="D111">
            <v>2422.0601476578627</v>
          </cell>
        </row>
        <row r="112">
          <cell r="A112">
            <v>110</v>
          </cell>
          <cell r="B112">
            <v>1202099.8613786928</v>
          </cell>
          <cell r="C112">
            <v>1156952.8751686553</v>
          </cell>
          <cell r="D112">
            <v>2412.8423350354415</v>
          </cell>
        </row>
        <row r="113">
          <cell r="A113">
            <v>198</v>
          </cell>
          <cell r="B113">
            <v>1202127.5307931774</v>
          </cell>
          <cell r="C113">
            <v>1156989.4638352133</v>
          </cell>
          <cell r="D113">
            <v>2446.9349488347002</v>
          </cell>
        </row>
        <row r="114">
          <cell r="A114">
            <v>103</v>
          </cell>
          <cell r="B114">
            <v>1202046.1714988863</v>
          </cell>
          <cell r="C114">
            <v>1156927.3113119854</v>
          </cell>
          <cell r="D114">
            <v>2416.7726468244286</v>
          </cell>
        </row>
        <row r="115">
          <cell r="A115" t="str">
            <v>E 85</v>
          </cell>
          <cell r="B115">
            <v>1202129.6661161201</v>
          </cell>
          <cell r="C115">
            <v>1156773.5679469011</v>
          </cell>
          <cell r="D115">
            <v>2290.6997682413576</v>
          </cell>
        </row>
        <row r="116">
          <cell r="A116">
            <v>196</v>
          </cell>
          <cell r="B116">
            <v>1202131.5636169766</v>
          </cell>
          <cell r="C116">
            <v>1156756.7835835852</v>
          </cell>
          <cell r="D116">
            <v>2288.7802270003872</v>
          </cell>
        </row>
        <row r="117">
          <cell r="A117">
            <v>175</v>
          </cell>
          <cell r="B117">
            <v>1202163.2689256617</v>
          </cell>
          <cell r="C117">
            <v>1156656.2602897964</v>
          </cell>
          <cell r="D117">
            <v>2314.315745111292</v>
          </cell>
        </row>
        <row r="118">
          <cell r="A118">
            <v>174</v>
          </cell>
          <cell r="B118">
            <v>1202203.7581261904</v>
          </cell>
          <cell r="C118">
            <v>1156587.1730688394</v>
          </cell>
          <cell r="D118">
            <v>2275.5147868012282</v>
          </cell>
        </row>
        <row r="119">
          <cell r="A119">
            <v>195</v>
          </cell>
          <cell r="B119">
            <v>1202078.1260710056</v>
          </cell>
          <cell r="C119">
            <v>1156782.8724234786</v>
          </cell>
          <cell r="D119">
            <v>2294.3467485281685</v>
          </cell>
        </row>
        <row r="120">
          <cell r="A120">
            <v>214</v>
          </cell>
          <cell r="B120">
            <v>1201981.0391769647</v>
          </cell>
          <cell r="C120">
            <v>1156594.8631563371</v>
          </cell>
          <cell r="D120">
            <v>2278.8350044491981</v>
          </cell>
        </row>
        <row r="121">
          <cell r="A121">
            <v>215</v>
          </cell>
          <cell r="B121">
            <v>1201969.1453609725</v>
          </cell>
          <cell r="C121">
            <v>1156604.9545125209</v>
          </cell>
          <cell r="D121">
            <v>2280.1049832927347</v>
          </cell>
        </row>
        <row r="122">
          <cell r="A122">
            <v>217</v>
          </cell>
          <cell r="B122">
            <v>1202059.2205305959</v>
          </cell>
          <cell r="C122">
            <v>1156466.063076251</v>
          </cell>
          <cell r="D122">
            <v>2226.3891398435376</v>
          </cell>
        </row>
        <row r="123">
          <cell r="A123">
            <v>216</v>
          </cell>
          <cell r="B123">
            <v>1202097.552268977</v>
          </cell>
          <cell r="C123">
            <v>1156485.485916021</v>
          </cell>
          <cell r="D123">
            <v>2236.596480133549</v>
          </cell>
        </row>
        <row r="124">
          <cell r="A124">
            <v>173</v>
          </cell>
          <cell r="B124">
            <v>1202131.554245628</v>
          </cell>
          <cell r="C124">
            <v>1156489.0712794461</v>
          </cell>
          <cell r="D124">
            <v>2236.1450457111705</v>
          </cell>
        </row>
        <row r="125">
          <cell r="A125">
            <v>172</v>
          </cell>
          <cell r="B125">
            <v>1202135.2984421197</v>
          </cell>
          <cell r="C125">
            <v>1156460.7146553106</v>
          </cell>
          <cell r="D125">
            <v>2223.1573230202498</v>
          </cell>
        </row>
        <row r="126">
          <cell r="A126">
            <v>194</v>
          </cell>
          <cell r="B126">
            <v>1202241.2377753661</v>
          </cell>
          <cell r="C126">
            <v>1156794.5307767421</v>
          </cell>
          <cell r="D126">
            <v>2264.3476434376962</v>
          </cell>
        </row>
        <row r="127">
          <cell r="A127">
            <v>119</v>
          </cell>
          <cell r="B127">
            <v>1202388.0165418454</v>
          </cell>
          <cell r="C127">
            <v>1156759.0276145977</v>
          </cell>
          <cell r="D127">
            <v>2389.8977813625406</v>
          </cell>
        </row>
        <row r="128">
          <cell r="A128">
            <v>188</v>
          </cell>
          <cell r="B128">
            <v>1202594.9376269158</v>
          </cell>
          <cell r="C128">
            <v>1156868.8355860095</v>
          </cell>
          <cell r="D128">
            <v>2191.296842593953</v>
          </cell>
        </row>
        <row r="129">
          <cell r="A129">
            <v>192</v>
          </cell>
          <cell r="B129">
            <v>1202439.3365694527</v>
          </cell>
          <cell r="C129">
            <v>1156698.4049070573</v>
          </cell>
          <cell r="D129">
            <v>2245.6351523255098</v>
          </cell>
        </row>
        <row r="130">
          <cell r="A130">
            <v>121</v>
          </cell>
          <cell r="B130">
            <v>1202461.1643546901</v>
          </cell>
          <cell r="C130">
            <v>1156723.726766028</v>
          </cell>
          <cell r="D130">
            <v>2376.7827218537127</v>
          </cell>
        </row>
        <row r="131">
          <cell r="A131">
            <v>123</v>
          </cell>
          <cell r="B131">
            <v>1202584.6303333684</v>
          </cell>
          <cell r="C131">
            <v>1156567.0741175357</v>
          </cell>
          <cell r="D131">
            <v>2341.5960743041096</v>
          </cell>
        </row>
        <row r="132">
          <cell r="A132">
            <v>124</v>
          </cell>
          <cell r="B132">
            <v>1202609.95239242</v>
          </cell>
          <cell r="C132">
            <v>1156584.7780849321</v>
          </cell>
          <cell r="D132">
            <v>2344.3031606500217</v>
          </cell>
        </row>
        <row r="133">
          <cell r="A133">
            <v>189</v>
          </cell>
          <cell r="B133">
            <v>1202637.4660466511</v>
          </cell>
          <cell r="C133">
            <v>1156564.8221817221</v>
          </cell>
          <cell r="D133">
            <v>2183.5923612605579</v>
          </cell>
        </row>
        <row r="134">
          <cell r="A134">
            <v>187</v>
          </cell>
          <cell r="B134">
            <v>1202737.3963703469</v>
          </cell>
          <cell r="C134">
            <v>1156668.0987138147</v>
          </cell>
          <cell r="D134">
            <v>2160.2442161428503</v>
          </cell>
        </row>
        <row r="135">
          <cell r="A135">
            <v>153</v>
          </cell>
          <cell r="B135">
            <v>1202440.9525142992</v>
          </cell>
          <cell r="C135">
            <v>1156388.864823434</v>
          </cell>
          <cell r="D135">
            <v>2252.4968616775254</v>
          </cell>
        </row>
        <row r="136">
          <cell r="A136">
            <v>154</v>
          </cell>
          <cell r="B136">
            <v>1202397.9108938405</v>
          </cell>
          <cell r="C136">
            <v>1156473.538144089</v>
          </cell>
          <cell r="D136">
            <v>2289.6240129170733</v>
          </cell>
        </row>
        <row r="137">
          <cell r="A137">
            <v>152</v>
          </cell>
          <cell r="B137">
            <v>1202434.6651877488</v>
          </cell>
          <cell r="C137">
            <v>1156372.7648563781</v>
          </cell>
          <cell r="D137">
            <v>2250.0645805568979</v>
          </cell>
        </row>
        <row r="138">
          <cell r="A138">
            <v>150</v>
          </cell>
          <cell r="B138">
            <v>1202491.3282123257</v>
          </cell>
          <cell r="C138">
            <v>1156283.3111161536</v>
          </cell>
          <cell r="D138">
            <v>2217.8971403759965</v>
          </cell>
        </row>
        <row r="139">
          <cell r="A139">
            <v>151</v>
          </cell>
          <cell r="B139">
            <v>1202426.6569870608</v>
          </cell>
          <cell r="C139">
            <v>1156286.1325945714</v>
          </cell>
          <cell r="D139">
            <v>2214.7849141832812</v>
          </cell>
        </row>
        <row r="140">
          <cell r="A140">
            <v>123</v>
          </cell>
          <cell r="B140">
            <v>1202584.6303333684</v>
          </cell>
          <cell r="C140">
            <v>1156567.0741175357</v>
          </cell>
          <cell r="D140">
            <v>2341.5960743041096</v>
          </cell>
        </row>
        <row r="141">
          <cell r="A141">
            <v>141</v>
          </cell>
          <cell r="B141">
            <v>1202708.0421958403</v>
          </cell>
          <cell r="C141">
            <v>1156351.0704712609</v>
          </cell>
          <cell r="D141">
            <v>2292.5726838128135</v>
          </cell>
        </row>
        <row r="142">
          <cell r="A142">
            <v>142</v>
          </cell>
          <cell r="B142">
            <v>1202710.6934242232</v>
          </cell>
          <cell r="C142">
            <v>1156330.6294050338</v>
          </cell>
          <cell r="D142">
            <v>2286.74870903786</v>
          </cell>
        </row>
        <row r="143">
          <cell r="A143">
            <v>178</v>
          </cell>
          <cell r="B143">
            <v>1202849.6742635116</v>
          </cell>
          <cell r="C143">
            <v>1156460.8551465403</v>
          </cell>
          <cell r="D143">
            <v>2176.1187983219384</v>
          </cell>
        </row>
        <row r="144">
          <cell r="A144">
            <v>184</v>
          </cell>
          <cell r="B144">
            <v>1202978.5262766099</v>
          </cell>
          <cell r="C144">
            <v>1156331.2179200363</v>
          </cell>
          <cell r="D144">
            <v>2146.2031668300906</v>
          </cell>
        </row>
        <row r="145">
          <cell r="A145" t="str">
            <v>E 83</v>
          </cell>
          <cell r="B145">
            <v>1202867.3980875504</v>
          </cell>
          <cell r="C145">
            <v>1156133.5941127921</v>
          </cell>
          <cell r="D145">
            <v>2173.6400180831474</v>
          </cell>
        </row>
        <row r="146">
          <cell r="A146">
            <v>177</v>
          </cell>
          <cell r="B146">
            <v>1202872.7026697353</v>
          </cell>
          <cell r="C146">
            <v>1156119.5682836876</v>
          </cell>
          <cell r="D146">
            <v>2173.2691734057908</v>
          </cell>
        </row>
        <row r="147">
          <cell r="A147">
            <v>191</v>
          </cell>
          <cell r="B147">
            <v>1203034.5219990935</v>
          </cell>
          <cell r="C147">
            <v>1156069.4412537562</v>
          </cell>
          <cell r="D147">
            <v>2154.8248946949698</v>
          </cell>
        </row>
        <row r="148">
          <cell r="A148">
            <v>143</v>
          </cell>
          <cell r="B148">
            <v>1202761.9713364933</v>
          </cell>
          <cell r="C148">
            <v>1156068.294465614</v>
          </cell>
          <cell r="D148">
            <v>2236.0102968170886</v>
          </cell>
        </row>
        <row r="149">
          <cell r="A149">
            <v>144</v>
          </cell>
          <cell r="B149">
            <v>1202627.7704915146</v>
          </cell>
          <cell r="C149">
            <v>1156042.6006887215</v>
          </cell>
          <cell r="D149">
            <v>2233.5810790384521</v>
          </cell>
        </row>
        <row r="150">
          <cell r="A150">
            <v>146</v>
          </cell>
          <cell r="B150">
            <v>1202543.9178892551</v>
          </cell>
          <cell r="C150">
            <v>1156040.1405551075</v>
          </cell>
          <cell r="D150">
            <v>2219.3469604026532</v>
          </cell>
        </row>
        <row r="151">
          <cell r="A151">
            <v>148</v>
          </cell>
          <cell r="B151">
            <v>1202456.4573171213</v>
          </cell>
          <cell r="C151">
            <v>1155853.3072624032</v>
          </cell>
          <cell r="D151">
            <v>2185.6007928479039</v>
          </cell>
        </row>
        <row r="152">
          <cell r="A152">
            <v>147</v>
          </cell>
          <cell r="B152">
            <v>1202508.9734029269</v>
          </cell>
          <cell r="C152">
            <v>1156080.3258842411</v>
          </cell>
          <cell r="D152">
            <v>2208.2824483998024</v>
          </cell>
        </row>
        <row r="153">
          <cell r="A153">
            <v>149</v>
          </cell>
          <cell r="B153">
            <v>1202363.1991052094</v>
          </cell>
          <cell r="C153">
            <v>1156085.7417984491</v>
          </cell>
          <cell r="D153">
            <v>2168.0122969830531</v>
          </cell>
        </row>
        <row r="154">
          <cell r="A154" t="str">
            <v>E 82</v>
          </cell>
          <cell r="B154">
            <v>1202287.3742291403</v>
          </cell>
          <cell r="C154">
            <v>1156276.55963637</v>
          </cell>
          <cell r="D154">
            <v>2201.8422485176143</v>
          </cell>
        </row>
        <row r="155">
          <cell r="A155">
            <v>155</v>
          </cell>
          <cell r="B155">
            <v>1202259.7451152729</v>
          </cell>
          <cell r="C155">
            <v>1156239.1983077466</v>
          </cell>
          <cell r="D155">
            <v>2189.8104909404833</v>
          </cell>
        </row>
        <row r="156">
          <cell r="A156">
            <v>171</v>
          </cell>
          <cell r="B156">
            <v>1202133.5750349495</v>
          </cell>
          <cell r="C156">
            <v>1156319.8872022713</v>
          </cell>
          <cell r="D156">
            <v>2171.9920827003593</v>
          </cell>
        </row>
        <row r="157">
          <cell r="A157">
            <v>170</v>
          </cell>
          <cell r="B157">
            <v>1202049.7154983932</v>
          </cell>
          <cell r="C157">
            <v>1156310.1013995111</v>
          </cell>
          <cell r="D157">
            <v>2158.873111628614</v>
          </cell>
        </row>
        <row r="158">
          <cell r="A158">
            <v>156</v>
          </cell>
          <cell r="B158">
            <v>1202038.5740666685</v>
          </cell>
          <cell r="C158">
            <v>1156228.7233294747</v>
          </cell>
          <cell r="D158">
            <v>2121.634833669566</v>
          </cell>
        </row>
        <row r="159">
          <cell r="A159">
            <v>158</v>
          </cell>
          <cell r="B159">
            <v>1202083.7649139848</v>
          </cell>
          <cell r="C159">
            <v>1156114.8913786726</v>
          </cell>
          <cell r="D159">
            <v>2176.2891893089845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"/>
      <sheetName val="FEB"/>
      <sheetName val="MAR"/>
      <sheetName val="Ene-Mar EEPPM"/>
      <sheetName val="Ene-Mar Contrato"/>
      <sheetName val="Rendimientos_Sur 03-00(JC)"/>
      <sheetName val="Ene-Feb"/>
      <sheetName val="Mar-Abr"/>
      <sheetName val="May-Jun"/>
      <sheetName val="Jul-Ago"/>
      <sheetName val="Sep-Oct"/>
      <sheetName val="Ene-Mar_EEPPM"/>
      <sheetName val="Ene-Mar_Contrato"/>
      <sheetName val="Rendimientos_Sur_03-00(JC)"/>
      <sheetName val="Ene-Mar_EEPPM1"/>
      <sheetName val="Ene-Mar_Contrato1"/>
      <sheetName val="Rendimientos_Sur_03-00(JC)1"/>
      <sheetName val="Ene-Mar_EEPPM5"/>
      <sheetName val="Ene-Mar_Contrato5"/>
      <sheetName val="Rendimientos_Sur_03-00(JC)5"/>
      <sheetName val="Ene-Mar_EEPPM2"/>
      <sheetName val="Ene-Mar_Contrato2"/>
      <sheetName val="Rendimientos_Sur_03-00(JC)2"/>
      <sheetName val="Ene-Mar_EEPPM3"/>
      <sheetName val="Ene-Mar_Contrato3"/>
      <sheetName val="Rendimientos_Sur_03-00(JC)3"/>
      <sheetName val="Ene-Mar_EEPPM4"/>
      <sheetName val="Ene-Mar_Contrato4"/>
      <sheetName val="Rendimientos_Sur_03-00(JC)4"/>
      <sheetName val="Ene-Mar_EEPPM6"/>
      <sheetName val="Ene-Mar_Contrato6"/>
      <sheetName val="Rendimientos_Sur_03-00(JC)6"/>
    </sheetNames>
    <sheetDataSet>
      <sheetData sheetId="0" refreshError="1">
        <row r="12">
          <cell r="A12" t="str">
            <v>CAMBIO ACOMETIDAS CONTRATO</v>
          </cell>
          <cell r="B12">
            <v>1</v>
          </cell>
          <cell r="C12">
            <v>0</v>
          </cell>
          <cell r="E12">
            <v>0</v>
          </cell>
          <cell r="F12" t="str">
            <v/>
          </cell>
          <cell r="G12" t="str">
            <v/>
          </cell>
          <cell r="H12">
            <v>0</v>
          </cell>
        </row>
        <row r="13">
          <cell r="A13" t="str">
            <v>CARROTANQUE</v>
          </cell>
          <cell r="B13">
            <v>135</v>
          </cell>
          <cell r="C13">
            <v>0</v>
          </cell>
          <cell r="D13">
            <v>1</v>
          </cell>
          <cell r="E13">
            <v>28</v>
          </cell>
          <cell r="F13">
            <v>4.8</v>
          </cell>
          <cell r="G13">
            <v>4.8</v>
          </cell>
          <cell r="H13">
            <v>0</v>
          </cell>
        </row>
        <row r="14">
          <cell r="A14" t="str">
            <v>CASAS SIN AGUA</v>
          </cell>
          <cell r="B14">
            <v>291</v>
          </cell>
          <cell r="C14">
            <v>242</v>
          </cell>
          <cell r="D14">
            <v>1</v>
          </cell>
          <cell r="E14">
            <v>28</v>
          </cell>
          <cell r="F14">
            <v>10.4</v>
          </cell>
          <cell r="G14">
            <v>19</v>
          </cell>
          <cell r="H14">
            <v>0.45403377110694182</v>
          </cell>
        </row>
        <row r="15">
          <cell r="A15" t="str">
            <v>CORTE Y RECONEXION</v>
          </cell>
          <cell r="B15">
            <v>14</v>
          </cell>
          <cell r="C15">
            <v>7</v>
          </cell>
          <cell r="E15">
            <v>0</v>
          </cell>
          <cell r="F15" t="str">
            <v/>
          </cell>
          <cell r="G15" t="str">
            <v/>
          </cell>
          <cell r="H15">
            <v>0.33333333333333331</v>
          </cell>
        </row>
        <row r="16">
          <cell r="A16" t="str">
            <v>DAÑOS ACUEDUCTO</v>
          </cell>
          <cell r="B16">
            <v>384</v>
          </cell>
          <cell r="C16">
            <v>87</v>
          </cell>
          <cell r="D16">
            <v>7.7142857142857144</v>
          </cell>
          <cell r="E16">
            <v>28</v>
          </cell>
          <cell r="F16">
            <v>1.8</v>
          </cell>
          <cell r="G16">
            <v>2.2000000000000002</v>
          </cell>
          <cell r="H16">
            <v>0.18471337579617833</v>
          </cell>
        </row>
        <row r="17">
          <cell r="A17" t="str">
            <v>ESCOMBROS DAÑOS ACUEDUCTO</v>
          </cell>
          <cell r="B17">
            <v>138</v>
          </cell>
          <cell r="C17">
            <v>2</v>
          </cell>
          <cell r="D17">
            <v>1</v>
          </cell>
          <cell r="E17">
            <v>28</v>
          </cell>
          <cell r="F17">
            <v>4.9000000000000004</v>
          </cell>
          <cell r="G17">
            <v>5</v>
          </cell>
          <cell r="H17">
            <v>1.4285714285714285E-2</v>
          </cell>
        </row>
        <row r="18">
          <cell r="A18" t="str">
            <v>FRAUDES</v>
          </cell>
          <cell r="B18">
            <v>123</v>
          </cell>
          <cell r="C18">
            <v>238</v>
          </cell>
          <cell r="D18">
            <v>1</v>
          </cell>
          <cell r="E18">
            <v>19</v>
          </cell>
          <cell r="F18">
            <v>6.5</v>
          </cell>
          <cell r="G18">
            <v>19</v>
          </cell>
          <cell r="H18">
            <v>0.65927977839335183</v>
          </cell>
        </row>
        <row r="19">
          <cell r="A19" t="str">
            <v>GARANTIAS INSTALACIONES</v>
          </cell>
          <cell r="B19">
            <v>17</v>
          </cell>
          <cell r="C19">
            <v>1</v>
          </cell>
          <cell r="E19">
            <v>0</v>
          </cell>
          <cell r="F19" t="str">
            <v/>
          </cell>
          <cell r="G19" t="str">
            <v/>
          </cell>
          <cell r="H19">
            <v>5.5555555555555552E-2</v>
          </cell>
        </row>
        <row r="20">
          <cell r="A20" t="str">
            <v>INSTALACIONES ACUEDUCTO</v>
          </cell>
          <cell r="B20">
            <v>2</v>
          </cell>
          <cell r="C20">
            <v>22</v>
          </cell>
          <cell r="E20">
            <v>0</v>
          </cell>
          <cell r="F20" t="str">
            <v/>
          </cell>
          <cell r="G20" t="str">
            <v/>
          </cell>
          <cell r="H20">
            <v>0.91666666666666663</v>
          </cell>
        </row>
        <row r="21">
          <cell r="A21" t="str">
            <v>MEDIDORES 1/2 Y 1"</v>
          </cell>
          <cell r="B21">
            <v>1</v>
          </cell>
          <cell r="C21">
            <v>1</v>
          </cell>
          <cell r="E21">
            <v>0</v>
          </cell>
          <cell r="F21" t="str">
            <v/>
          </cell>
          <cell r="G21" t="str">
            <v/>
          </cell>
          <cell r="H21">
            <v>0.5</v>
          </cell>
        </row>
        <row r="22">
          <cell r="A22" t="str">
            <v>MMTO VALVULAS E HIDRANTES</v>
          </cell>
          <cell r="B22">
            <v>15</v>
          </cell>
          <cell r="C22">
            <v>4</v>
          </cell>
          <cell r="D22">
            <v>1.5</v>
          </cell>
          <cell r="E22">
            <v>28</v>
          </cell>
          <cell r="F22">
            <v>0.4</v>
          </cell>
          <cell r="G22">
            <v>0.5</v>
          </cell>
          <cell r="H22">
            <v>0.21052631578947367</v>
          </cell>
        </row>
        <row r="23">
          <cell r="A23" t="str">
            <v>OBRAS ACCESORIAS DAÑOS ACUEDUCTO</v>
          </cell>
          <cell r="B23">
            <v>3</v>
          </cell>
          <cell r="C23">
            <v>8</v>
          </cell>
          <cell r="E23">
            <v>0</v>
          </cell>
          <cell r="F23" t="str">
            <v/>
          </cell>
          <cell r="G23" t="str">
            <v/>
          </cell>
          <cell r="H23">
            <v>0.72727272727272729</v>
          </cell>
        </row>
        <row r="24">
          <cell r="A24" t="str">
            <v>OBRAS ACCESORIAS INSTALACIONES</v>
          </cell>
          <cell r="B24">
            <v>405</v>
          </cell>
          <cell r="C24">
            <v>0</v>
          </cell>
          <cell r="E24">
            <v>0</v>
          </cell>
          <cell r="F24" t="str">
            <v/>
          </cell>
          <cell r="G24" t="str">
            <v/>
          </cell>
          <cell r="H24">
            <v>0</v>
          </cell>
        </row>
        <row r="25">
          <cell r="A25" t="str">
            <v>PITOMETRÍA</v>
          </cell>
          <cell r="B25">
            <v>46</v>
          </cell>
          <cell r="C25">
            <v>25</v>
          </cell>
          <cell r="D25">
            <v>2.1111111111111112</v>
          </cell>
          <cell r="E25">
            <v>9</v>
          </cell>
          <cell r="F25">
            <v>2.4</v>
          </cell>
          <cell r="G25">
            <v>3.7</v>
          </cell>
          <cell r="H25">
            <v>0.352112676056338</v>
          </cell>
        </row>
        <row r="26">
          <cell r="A26" t="str">
            <v>PROYECTOS ACUEDUCTO</v>
          </cell>
          <cell r="B26">
            <v>21</v>
          </cell>
          <cell r="C26">
            <v>1</v>
          </cell>
          <cell r="E26">
            <v>0</v>
          </cell>
          <cell r="F26" t="str">
            <v/>
          </cell>
          <cell r="G26" t="str">
            <v/>
          </cell>
          <cell r="H26">
            <v>4.5454545454545456E-2</v>
          </cell>
        </row>
        <row r="27">
          <cell r="A27" t="str">
            <v>REFERENCIACIÓN ACUEDUCTO</v>
          </cell>
          <cell r="B27">
            <v>7</v>
          </cell>
          <cell r="C27">
            <v>5</v>
          </cell>
          <cell r="E27">
            <v>0</v>
          </cell>
          <cell r="F27" t="str">
            <v/>
          </cell>
          <cell r="G27" t="str">
            <v/>
          </cell>
          <cell r="H27">
            <v>0.41666666666666669</v>
          </cell>
        </row>
        <row r="28">
          <cell r="F28" t="str">
            <v/>
          </cell>
          <cell r="G28" t="str">
            <v/>
          </cell>
          <cell r="H28" t="str">
            <v/>
          </cell>
        </row>
        <row r="29">
          <cell r="F29" t="str">
            <v/>
          </cell>
          <cell r="G29" t="str">
            <v/>
          </cell>
          <cell r="H29" t="str">
            <v/>
          </cell>
        </row>
        <row r="30">
          <cell r="F30" t="str">
            <v/>
          </cell>
          <cell r="G30" t="str">
            <v/>
          </cell>
          <cell r="H30" t="str">
            <v/>
          </cell>
        </row>
        <row r="31">
          <cell r="F31" t="str">
            <v/>
          </cell>
          <cell r="G31" t="str">
            <v/>
          </cell>
          <cell r="H31" t="str">
            <v/>
          </cell>
        </row>
        <row r="32">
          <cell r="F32" t="str">
            <v/>
          </cell>
          <cell r="G32" t="str">
            <v/>
          </cell>
          <cell r="H32" t="str">
            <v/>
          </cell>
        </row>
        <row r="33">
          <cell r="A33" t="str">
            <v>Total general</v>
          </cell>
          <cell r="B33">
            <v>1603</v>
          </cell>
          <cell r="C33">
            <v>643</v>
          </cell>
          <cell r="F33" t="str">
            <v/>
          </cell>
          <cell r="G33" t="str">
            <v/>
          </cell>
          <cell r="H33">
            <v>0.28628673196794302</v>
          </cell>
        </row>
        <row r="34">
          <cell r="F34" t="str">
            <v/>
          </cell>
          <cell r="G34" t="str">
            <v/>
          </cell>
          <cell r="H34" t="str">
            <v/>
          </cell>
        </row>
        <row r="35">
          <cell r="A35" t="str">
            <v>CAMBIO ACOMETIDAS CONTRATO</v>
          </cell>
          <cell r="B35">
            <v>210</v>
          </cell>
          <cell r="C35">
            <v>1</v>
          </cell>
          <cell r="D35">
            <v>3</v>
          </cell>
          <cell r="E35">
            <v>19</v>
          </cell>
          <cell r="F35">
            <v>3.7</v>
          </cell>
          <cell r="G35">
            <v>3.7</v>
          </cell>
          <cell r="H35">
            <v>4.7393364928909956E-3</v>
          </cell>
        </row>
        <row r="36">
          <cell r="A36" t="str">
            <v>CARROTANQUE</v>
          </cell>
          <cell r="B36">
            <v>1</v>
          </cell>
          <cell r="C36">
            <v>0</v>
          </cell>
          <cell r="F36" t="str">
            <v/>
          </cell>
          <cell r="G36" t="str">
            <v/>
          </cell>
          <cell r="H36">
            <v>0</v>
          </cell>
        </row>
        <row r="37">
          <cell r="A37" t="str">
            <v>CASAS SIN AGUA</v>
          </cell>
          <cell r="B37">
            <v>0</v>
          </cell>
          <cell r="C37">
            <v>1</v>
          </cell>
          <cell r="F37" t="str">
            <v/>
          </cell>
          <cell r="G37" t="str">
            <v/>
          </cell>
          <cell r="H37">
            <v>1</v>
          </cell>
        </row>
        <row r="38">
          <cell r="A38" t="str">
            <v>CORTE Y RECONEXION</v>
          </cell>
          <cell r="B38">
            <v>584</v>
          </cell>
          <cell r="C38">
            <v>18</v>
          </cell>
          <cell r="D38">
            <v>1</v>
          </cell>
          <cell r="E38">
            <v>19</v>
          </cell>
          <cell r="F38">
            <v>30.7</v>
          </cell>
          <cell r="G38">
            <v>31.7</v>
          </cell>
          <cell r="H38">
            <v>2.9900332225913623E-2</v>
          </cell>
        </row>
        <row r="39">
          <cell r="A39" t="str">
            <v>DAÑOS ACUEDUCTO</v>
          </cell>
          <cell r="B39">
            <v>35</v>
          </cell>
          <cell r="C39">
            <v>0</v>
          </cell>
          <cell r="F39" t="str">
            <v/>
          </cell>
          <cell r="G39" t="str">
            <v/>
          </cell>
          <cell r="H39">
            <v>0</v>
          </cell>
        </row>
        <row r="40">
          <cell r="A40" t="str">
            <v>FRAUDES</v>
          </cell>
          <cell r="B40">
            <v>2</v>
          </cell>
          <cell r="C40">
            <v>0</v>
          </cell>
          <cell r="F40" t="str">
            <v/>
          </cell>
          <cell r="G40" t="str">
            <v/>
          </cell>
          <cell r="H40">
            <v>0</v>
          </cell>
        </row>
        <row r="41">
          <cell r="A41" t="str">
            <v>GARANTIAS INSTALACIONES</v>
          </cell>
          <cell r="B41">
            <v>14</v>
          </cell>
          <cell r="C41">
            <v>0</v>
          </cell>
          <cell r="D41">
            <v>1</v>
          </cell>
          <cell r="E41">
            <v>19</v>
          </cell>
          <cell r="F41">
            <v>0.7</v>
          </cell>
          <cell r="G41">
            <v>0.7</v>
          </cell>
          <cell r="H41">
            <v>0</v>
          </cell>
        </row>
        <row r="42">
          <cell r="A42" t="str">
            <v>INSTALACIONES ACUEDUCTO</v>
          </cell>
          <cell r="B42">
            <v>284</v>
          </cell>
          <cell r="C42">
            <v>4</v>
          </cell>
          <cell r="D42">
            <v>5</v>
          </cell>
          <cell r="E42">
            <v>19</v>
          </cell>
          <cell r="F42">
            <v>3</v>
          </cell>
          <cell r="G42">
            <v>3</v>
          </cell>
          <cell r="H42">
            <v>1.3888888888888888E-2</v>
          </cell>
        </row>
        <row r="43">
          <cell r="A43" t="str">
            <v>MEDIDORES 1/2 Y 1"</v>
          </cell>
          <cell r="B43">
            <v>264</v>
          </cell>
          <cell r="C43">
            <v>2</v>
          </cell>
          <cell r="D43">
            <v>4</v>
          </cell>
          <cell r="E43">
            <v>19</v>
          </cell>
          <cell r="F43">
            <v>3.5</v>
          </cell>
          <cell r="G43">
            <v>3.5</v>
          </cell>
          <cell r="H43">
            <v>7.5187969924812026E-3</v>
          </cell>
        </row>
        <row r="44">
          <cell r="A44" t="str">
            <v>MMTO VALVULAS E HIDRANTES</v>
          </cell>
          <cell r="B44">
            <v>71</v>
          </cell>
          <cell r="C44">
            <v>0</v>
          </cell>
          <cell r="D44">
            <v>3</v>
          </cell>
          <cell r="E44">
            <v>19</v>
          </cell>
          <cell r="F44">
            <v>1.2</v>
          </cell>
          <cell r="G44">
            <v>1.2</v>
          </cell>
          <cell r="H44">
            <v>0</v>
          </cell>
        </row>
        <row r="45">
          <cell r="A45" t="str">
            <v>OBRAS ACCESORIAS DAÑOS ACUEDUCTO</v>
          </cell>
          <cell r="B45">
            <v>92</v>
          </cell>
          <cell r="C45">
            <v>0</v>
          </cell>
          <cell r="D45">
            <v>3</v>
          </cell>
          <cell r="E45">
            <v>19</v>
          </cell>
          <cell r="F45">
            <v>1.6</v>
          </cell>
          <cell r="G45">
            <v>1.6</v>
          </cell>
          <cell r="H45">
            <v>0</v>
          </cell>
        </row>
        <row r="46">
          <cell r="A46" t="str">
            <v>OBRAS ACCESORIAS INSTALACIONES</v>
          </cell>
          <cell r="B46">
            <v>3</v>
          </cell>
          <cell r="C46">
            <v>0</v>
          </cell>
          <cell r="D46">
            <v>1</v>
          </cell>
          <cell r="E46">
            <v>19</v>
          </cell>
          <cell r="F46">
            <v>0.2</v>
          </cell>
          <cell r="G46">
            <v>0.2</v>
          </cell>
          <cell r="H46">
            <v>0</v>
          </cell>
        </row>
        <row r="47">
          <cell r="A47" t="str">
            <v>REFERENCIACIÓN ACUEDUCTO</v>
          </cell>
          <cell r="B47">
            <v>1</v>
          </cell>
          <cell r="C47">
            <v>0</v>
          </cell>
          <cell r="F47" t="str">
            <v/>
          </cell>
          <cell r="G47" t="str">
            <v/>
          </cell>
          <cell r="H47">
            <v>0</v>
          </cell>
        </row>
        <row r="48">
          <cell r="F48" t="str">
            <v/>
          </cell>
          <cell r="G48" t="str">
            <v/>
          </cell>
          <cell r="H48" t="str">
            <v/>
          </cell>
        </row>
        <row r="49">
          <cell r="F49" t="str">
            <v/>
          </cell>
          <cell r="G49" t="str">
            <v/>
          </cell>
          <cell r="H49" t="str">
            <v/>
          </cell>
        </row>
        <row r="51">
          <cell r="A51" t="str">
            <v>Total general</v>
          </cell>
          <cell r="B51">
            <v>1561</v>
          </cell>
          <cell r="C51">
            <v>26</v>
          </cell>
          <cell r="F51" t="str">
            <v/>
          </cell>
          <cell r="G51" t="str">
            <v/>
          </cell>
          <cell r="H51">
            <v>1.6383112791430371E-2</v>
          </cell>
        </row>
      </sheetData>
      <sheetData sheetId="1" refreshError="1">
        <row r="12">
          <cell r="A12" t="str">
            <v>CAMBIO ACOMETIDAS CONTRATO</v>
          </cell>
          <cell r="B12">
            <v>3</v>
          </cell>
          <cell r="C12">
            <v>14</v>
          </cell>
          <cell r="E12">
            <v>0</v>
          </cell>
          <cell r="F12" t="str">
            <v/>
          </cell>
          <cell r="G12" t="str">
            <v/>
          </cell>
          <cell r="H12">
            <v>0.82352941176470584</v>
          </cell>
        </row>
        <row r="13">
          <cell r="A13" t="str">
            <v>CARROTANQUE</v>
          </cell>
          <cell r="B13">
            <v>84</v>
          </cell>
          <cell r="C13">
            <v>3</v>
          </cell>
          <cell r="D13">
            <v>1</v>
          </cell>
          <cell r="E13">
            <v>28</v>
          </cell>
          <cell r="F13">
            <v>3</v>
          </cell>
          <cell r="G13">
            <v>3.1</v>
          </cell>
          <cell r="H13">
            <v>3.4482758620689655E-2</v>
          </cell>
        </row>
        <row r="14">
          <cell r="A14" t="str">
            <v>CASAS SIN AGUA</v>
          </cell>
          <cell r="B14">
            <v>250</v>
          </cell>
          <cell r="C14">
            <v>313</v>
          </cell>
          <cell r="D14">
            <v>1</v>
          </cell>
          <cell r="E14">
            <v>28</v>
          </cell>
          <cell r="F14">
            <v>8.9</v>
          </cell>
          <cell r="G14">
            <v>20.100000000000001</v>
          </cell>
          <cell r="H14">
            <v>0.55595026642984013</v>
          </cell>
        </row>
        <row r="15">
          <cell r="A15" t="str">
            <v>CORTE Y RECONEXION</v>
          </cell>
          <cell r="B15">
            <v>2</v>
          </cell>
          <cell r="C15">
            <v>3</v>
          </cell>
          <cell r="E15">
            <v>0</v>
          </cell>
          <cell r="F15" t="str">
            <v/>
          </cell>
          <cell r="G15" t="str">
            <v/>
          </cell>
          <cell r="H15">
            <v>0.6</v>
          </cell>
        </row>
        <row r="16">
          <cell r="A16" t="str">
            <v>DAÑOS ACUEDUCTO</v>
          </cell>
          <cell r="B16">
            <v>580</v>
          </cell>
          <cell r="C16">
            <v>109</v>
          </cell>
          <cell r="D16">
            <v>8.2857142857142865</v>
          </cell>
          <cell r="E16">
            <v>28</v>
          </cell>
          <cell r="F16">
            <v>2.5</v>
          </cell>
          <cell r="G16">
            <v>3</v>
          </cell>
          <cell r="H16">
            <v>0.15820029027576196</v>
          </cell>
        </row>
        <row r="17">
          <cell r="A17" t="str">
            <v>ESCOMBROS DAÑOS ACUEDUCTO</v>
          </cell>
          <cell r="B17">
            <v>131</v>
          </cell>
          <cell r="C17">
            <v>6</v>
          </cell>
          <cell r="D17">
            <v>1</v>
          </cell>
          <cell r="E17">
            <v>28</v>
          </cell>
          <cell r="F17">
            <v>4.7</v>
          </cell>
          <cell r="G17">
            <v>4.9000000000000004</v>
          </cell>
          <cell r="H17">
            <v>4.3795620437956206E-2</v>
          </cell>
        </row>
        <row r="18">
          <cell r="A18" t="str">
            <v>FRAUDES</v>
          </cell>
          <cell r="B18">
            <v>384</v>
          </cell>
          <cell r="C18">
            <v>127</v>
          </cell>
          <cell r="D18">
            <v>1</v>
          </cell>
          <cell r="E18">
            <v>21</v>
          </cell>
          <cell r="F18">
            <v>18.3</v>
          </cell>
          <cell r="G18">
            <v>24.3</v>
          </cell>
          <cell r="H18">
            <v>0.24853228962818003</v>
          </cell>
        </row>
        <row r="19">
          <cell r="A19" t="str">
            <v>GARANTIAS INSTALACIONES</v>
          </cell>
          <cell r="B19">
            <v>30</v>
          </cell>
          <cell r="C19">
            <v>8</v>
          </cell>
          <cell r="E19">
            <v>0</v>
          </cell>
          <cell r="F19" t="str">
            <v/>
          </cell>
          <cell r="G19" t="str">
            <v/>
          </cell>
          <cell r="H19">
            <v>0.21052631578947367</v>
          </cell>
        </row>
        <row r="20">
          <cell r="A20" t="str">
            <v>INSTALACIONES ACUEDUCTO</v>
          </cell>
          <cell r="B20">
            <v>1</v>
          </cell>
          <cell r="C20">
            <v>55</v>
          </cell>
          <cell r="E20">
            <v>0</v>
          </cell>
          <cell r="F20" t="str">
            <v/>
          </cell>
          <cell r="G20" t="str">
            <v/>
          </cell>
          <cell r="H20">
            <v>0.9821428571428571</v>
          </cell>
        </row>
        <row r="21">
          <cell r="A21" t="str">
            <v>MMTO VALVULAS E HIDRANTES</v>
          </cell>
          <cell r="B21">
            <v>7</v>
          </cell>
          <cell r="C21">
            <v>7</v>
          </cell>
          <cell r="D21">
            <v>1.7142857142857142</v>
          </cell>
          <cell r="E21">
            <v>28</v>
          </cell>
          <cell r="F21">
            <v>0.1</v>
          </cell>
          <cell r="G21">
            <v>0.3</v>
          </cell>
          <cell r="H21">
            <v>0.5</v>
          </cell>
        </row>
        <row r="22">
          <cell r="A22" t="str">
            <v>OBRAS ACCESORIAS DAÑOS ACUEDUCTO</v>
          </cell>
          <cell r="B22">
            <v>1</v>
          </cell>
          <cell r="C22">
            <v>4</v>
          </cell>
          <cell r="E22">
            <v>0</v>
          </cell>
          <cell r="F22" t="str">
            <v/>
          </cell>
          <cell r="G22" t="str">
            <v/>
          </cell>
          <cell r="H22">
            <v>0.8</v>
          </cell>
        </row>
        <row r="23">
          <cell r="A23" t="str">
            <v>OBRAS ACCESORIAS INSTALACIONES</v>
          </cell>
          <cell r="B23">
            <v>415</v>
          </cell>
          <cell r="C23">
            <v>0</v>
          </cell>
          <cell r="E23">
            <v>0</v>
          </cell>
          <cell r="F23" t="str">
            <v/>
          </cell>
          <cell r="G23" t="str">
            <v/>
          </cell>
          <cell r="H23">
            <v>0</v>
          </cell>
        </row>
        <row r="24">
          <cell r="A24" t="str">
            <v>PITOMETRÍA</v>
          </cell>
          <cell r="B24">
            <v>68</v>
          </cell>
          <cell r="C24">
            <v>24</v>
          </cell>
          <cell r="D24">
            <v>3.0833333333333335</v>
          </cell>
          <cell r="E24">
            <v>12</v>
          </cell>
          <cell r="F24">
            <v>1.8</v>
          </cell>
          <cell r="G24">
            <v>2.5</v>
          </cell>
          <cell r="H24">
            <v>0.2608695652173913</v>
          </cell>
        </row>
        <row r="25">
          <cell r="A25" t="str">
            <v>PROYECTOS ACUEDUCTO</v>
          </cell>
          <cell r="B25">
            <v>4</v>
          </cell>
          <cell r="C25">
            <v>0</v>
          </cell>
          <cell r="E25">
            <v>0</v>
          </cell>
          <cell r="F25" t="str">
            <v/>
          </cell>
          <cell r="G25" t="str">
            <v/>
          </cell>
          <cell r="H25">
            <v>0</v>
          </cell>
        </row>
        <row r="26">
          <cell r="A26" t="str">
            <v>REFERENCIACIÓN ACUEDUCTO</v>
          </cell>
          <cell r="B26">
            <v>12</v>
          </cell>
          <cell r="C26">
            <v>4</v>
          </cell>
          <cell r="E26">
            <v>0</v>
          </cell>
          <cell r="F26" t="str">
            <v/>
          </cell>
          <cell r="G26" t="str">
            <v/>
          </cell>
          <cell r="H26">
            <v>0.25</v>
          </cell>
        </row>
        <row r="27">
          <cell r="F27" t="str">
            <v/>
          </cell>
          <cell r="G27" t="str">
            <v/>
          </cell>
          <cell r="H27" t="str">
            <v/>
          </cell>
        </row>
        <row r="28">
          <cell r="F28" t="str">
            <v/>
          </cell>
          <cell r="G28" t="str">
            <v/>
          </cell>
          <cell r="H28" t="str">
            <v/>
          </cell>
        </row>
        <row r="29">
          <cell r="F29" t="str">
            <v/>
          </cell>
          <cell r="G29" t="str">
            <v/>
          </cell>
          <cell r="H29" t="str">
            <v/>
          </cell>
        </row>
        <row r="30">
          <cell r="F30" t="str">
            <v/>
          </cell>
          <cell r="G30" t="str">
            <v/>
          </cell>
          <cell r="H30" t="str">
            <v/>
          </cell>
        </row>
        <row r="31">
          <cell r="F31" t="str">
            <v/>
          </cell>
          <cell r="G31" t="str">
            <v/>
          </cell>
          <cell r="H31" t="str">
            <v/>
          </cell>
        </row>
        <row r="32">
          <cell r="F32" t="str">
            <v/>
          </cell>
          <cell r="G32" t="str">
            <v/>
          </cell>
          <cell r="H32" t="str">
            <v/>
          </cell>
        </row>
        <row r="33">
          <cell r="A33" t="str">
            <v>Total general</v>
          </cell>
          <cell r="B33">
            <v>1972</v>
          </cell>
          <cell r="C33">
            <v>677</v>
          </cell>
          <cell r="F33" t="str">
            <v/>
          </cell>
          <cell r="G33" t="str">
            <v/>
          </cell>
          <cell r="H33">
            <v>0.2555681389203473</v>
          </cell>
        </row>
        <row r="35">
          <cell r="A35" t="str">
            <v>CAMBIO ACOMETIDAS CONTRATO</v>
          </cell>
          <cell r="B35">
            <v>212</v>
          </cell>
          <cell r="C35">
            <v>1</v>
          </cell>
          <cell r="D35">
            <v>3</v>
          </cell>
          <cell r="E35">
            <v>21</v>
          </cell>
          <cell r="F35">
            <v>3.4</v>
          </cell>
          <cell r="G35">
            <v>3.4</v>
          </cell>
          <cell r="H35">
            <v>4.6948356807511738E-3</v>
          </cell>
        </row>
        <row r="36">
          <cell r="A36" t="str">
            <v>CASAS SIN AGUA</v>
          </cell>
          <cell r="B36">
            <v>0</v>
          </cell>
          <cell r="C36">
            <v>1</v>
          </cell>
          <cell r="F36" t="str">
            <v/>
          </cell>
          <cell r="G36" t="str">
            <v/>
          </cell>
          <cell r="H36">
            <v>1</v>
          </cell>
        </row>
        <row r="37">
          <cell r="A37" t="str">
            <v>CORTE Y RECONEXION</v>
          </cell>
          <cell r="B37">
            <v>574</v>
          </cell>
          <cell r="C37">
            <v>1</v>
          </cell>
          <cell r="D37">
            <v>1</v>
          </cell>
          <cell r="E37">
            <v>21</v>
          </cell>
          <cell r="F37">
            <v>27.3</v>
          </cell>
          <cell r="G37">
            <v>27.4</v>
          </cell>
          <cell r="H37">
            <v>1.7391304347826088E-3</v>
          </cell>
        </row>
        <row r="38">
          <cell r="A38" t="str">
            <v>DAÑOS ACUEDUCTO</v>
          </cell>
          <cell r="B38">
            <v>2</v>
          </cell>
          <cell r="C38">
            <v>0</v>
          </cell>
          <cell r="F38" t="str">
            <v/>
          </cell>
          <cell r="G38" t="str">
            <v/>
          </cell>
          <cell r="H38">
            <v>0</v>
          </cell>
        </row>
        <row r="39">
          <cell r="A39" t="str">
            <v>FRAUDES</v>
          </cell>
          <cell r="B39">
            <v>5</v>
          </cell>
          <cell r="C39">
            <v>0</v>
          </cell>
          <cell r="F39" t="str">
            <v/>
          </cell>
          <cell r="G39" t="str">
            <v/>
          </cell>
          <cell r="H39">
            <v>0</v>
          </cell>
        </row>
        <row r="40">
          <cell r="A40" t="str">
            <v>GARANTIAS INSTALACIONES</v>
          </cell>
          <cell r="B40">
            <v>16</v>
          </cell>
          <cell r="C40">
            <v>1</v>
          </cell>
          <cell r="D40">
            <v>1</v>
          </cell>
          <cell r="E40">
            <v>21</v>
          </cell>
          <cell r="F40">
            <v>0.8</v>
          </cell>
          <cell r="G40">
            <v>0.8</v>
          </cell>
          <cell r="H40">
            <v>5.8823529411764705E-2</v>
          </cell>
        </row>
        <row r="41">
          <cell r="A41" t="str">
            <v>INSTALACIONES ACUEDUCTO</v>
          </cell>
          <cell r="B41">
            <v>400</v>
          </cell>
          <cell r="C41">
            <v>0</v>
          </cell>
          <cell r="D41">
            <v>5</v>
          </cell>
          <cell r="E41">
            <v>21</v>
          </cell>
          <cell r="F41">
            <v>3.8</v>
          </cell>
          <cell r="G41">
            <v>3.8</v>
          </cell>
          <cell r="H41">
            <v>0</v>
          </cell>
        </row>
        <row r="42">
          <cell r="A42" t="str">
            <v>MEDIDORES 1/2 Y 1"</v>
          </cell>
          <cell r="B42">
            <v>295</v>
          </cell>
          <cell r="C42">
            <v>1</v>
          </cell>
          <cell r="D42">
            <v>4</v>
          </cell>
          <cell r="E42">
            <v>21</v>
          </cell>
          <cell r="F42">
            <v>3.5</v>
          </cell>
          <cell r="G42">
            <v>3.5</v>
          </cell>
          <cell r="H42">
            <v>3.3783783783783786E-3</v>
          </cell>
        </row>
        <row r="43">
          <cell r="A43" t="str">
            <v>MMTO VALVULAS E HIDRANTES</v>
          </cell>
          <cell r="B43">
            <v>48</v>
          </cell>
          <cell r="C43">
            <v>0</v>
          </cell>
          <cell r="D43">
            <v>3</v>
          </cell>
          <cell r="E43">
            <v>21</v>
          </cell>
          <cell r="F43">
            <v>0.8</v>
          </cell>
          <cell r="G43">
            <v>0.8</v>
          </cell>
          <cell r="H43">
            <v>0</v>
          </cell>
        </row>
        <row r="44">
          <cell r="A44" t="str">
            <v>OBRAS ACCESORIAS DAÑOS ACUEDUCTO</v>
          </cell>
          <cell r="B44">
            <v>119</v>
          </cell>
          <cell r="C44">
            <v>0</v>
          </cell>
          <cell r="D44">
            <v>3</v>
          </cell>
          <cell r="E44">
            <v>21</v>
          </cell>
          <cell r="F44">
            <v>1.9</v>
          </cell>
          <cell r="G44">
            <v>1.9</v>
          </cell>
          <cell r="H44">
            <v>0</v>
          </cell>
        </row>
        <row r="45">
          <cell r="A45" t="str">
            <v>OBRAS ACCESORIAS INSTALACIONES</v>
          </cell>
          <cell r="B45">
            <v>8</v>
          </cell>
          <cell r="C45">
            <v>0</v>
          </cell>
          <cell r="D45">
            <v>1</v>
          </cell>
          <cell r="E45">
            <v>21</v>
          </cell>
          <cell r="F45">
            <v>0.4</v>
          </cell>
          <cell r="G45">
            <v>0.4</v>
          </cell>
          <cell r="H45">
            <v>0</v>
          </cell>
        </row>
        <row r="46">
          <cell r="A46" t="str">
            <v>PROYECTOS ACUEDUCTO</v>
          </cell>
          <cell r="B46">
            <v>2</v>
          </cell>
          <cell r="C46">
            <v>0</v>
          </cell>
          <cell r="F46" t="str">
            <v/>
          </cell>
          <cell r="G46" t="str">
            <v/>
          </cell>
          <cell r="H46">
            <v>0</v>
          </cell>
        </row>
        <row r="47">
          <cell r="F47" t="str">
            <v/>
          </cell>
          <cell r="G47" t="str">
            <v/>
          </cell>
          <cell r="H47" t="str">
            <v/>
          </cell>
        </row>
        <row r="48">
          <cell r="F48" t="str">
            <v/>
          </cell>
          <cell r="G48" t="str">
            <v/>
          </cell>
          <cell r="H48" t="str">
            <v/>
          </cell>
        </row>
        <row r="49">
          <cell r="F49" t="str">
            <v/>
          </cell>
          <cell r="G49" t="str">
            <v/>
          </cell>
          <cell r="H49" t="str">
            <v/>
          </cell>
        </row>
        <row r="51">
          <cell r="A51" t="str">
            <v>Total general</v>
          </cell>
          <cell r="B51">
            <v>1681</v>
          </cell>
          <cell r="C51">
            <v>5</v>
          </cell>
          <cell r="F51" t="str">
            <v/>
          </cell>
          <cell r="G51" t="str">
            <v/>
          </cell>
          <cell r="H51">
            <v>2.9655990510083037E-3</v>
          </cell>
        </row>
      </sheetData>
      <sheetData sheetId="2" refreshError="1">
        <row r="12">
          <cell r="A12" t="str">
            <v>CAMBIO ACOMETIDAS CONTRATO</v>
          </cell>
          <cell r="B12">
            <v>9</v>
          </cell>
          <cell r="C12">
            <v>8</v>
          </cell>
          <cell r="E12">
            <v>0</v>
          </cell>
          <cell r="F12" t="str">
            <v/>
          </cell>
          <cell r="G12" t="str">
            <v/>
          </cell>
          <cell r="H12">
            <v>0.47058823529411764</v>
          </cell>
        </row>
        <row r="13">
          <cell r="A13" t="str">
            <v>CARROTANQUE</v>
          </cell>
          <cell r="B13">
            <v>47</v>
          </cell>
          <cell r="C13">
            <v>0</v>
          </cell>
          <cell r="D13">
            <v>1</v>
          </cell>
          <cell r="E13">
            <v>35</v>
          </cell>
          <cell r="F13">
            <v>1.3</v>
          </cell>
          <cell r="G13">
            <v>1.3</v>
          </cell>
          <cell r="H13">
            <v>0</v>
          </cell>
        </row>
        <row r="14">
          <cell r="A14" t="str">
            <v>CASAS SIN AGUA</v>
          </cell>
          <cell r="B14">
            <v>277</v>
          </cell>
          <cell r="C14">
            <v>396</v>
          </cell>
          <cell r="D14">
            <v>1</v>
          </cell>
          <cell r="E14">
            <v>35</v>
          </cell>
          <cell r="F14">
            <v>7.9</v>
          </cell>
          <cell r="G14">
            <v>19.2</v>
          </cell>
          <cell r="H14">
            <v>0.58841010401188709</v>
          </cell>
        </row>
        <row r="15">
          <cell r="A15" t="str">
            <v>CORTE Y RECONEXION</v>
          </cell>
          <cell r="B15">
            <v>5</v>
          </cell>
          <cell r="C15">
            <v>4</v>
          </cell>
          <cell r="E15">
            <v>0</v>
          </cell>
          <cell r="F15" t="str">
            <v/>
          </cell>
          <cell r="G15" t="str">
            <v/>
          </cell>
          <cell r="H15">
            <v>0.44444444444444442</v>
          </cell>
        </row>
        <row r="16">
          <cell r="A16" t="str">
            <v>DAÑOS ACUEDUCTO</v>
          </cell>
          <cell r="B16">
            <v>948</v>
          </cell>
          <cell r="C16">
            <v>86</v>
          </cell>
          <cell r="D16">
            <v>8.1142857142857157</v>
          </cell>
          <cell r="E16">
            <v>35</v>
          </cell>
          <cell r="F16">
            <v>3.3</v>
          </cell>
          <cell r="G16">
            <v>3.6</v>
          </cell>
          <cell r="H16">
            <v>8.3172147001934232E-2</v>
          </cell>
        </row>
        <row r="17">
          <cell r="A17" t="str">
            <v>ESCOMBROS DAÑOS ACUEDUCTO</v>
          </cell>
          <cell r="B17">
            <v>122</v>
          </cell>
          <cell r="C17">
            <v>8</v>
          </cell>
          <cell r="D17">
            <v>1</v>
          </cell>
          <cell r="E17">
            <v>35</v>
          </cell>
          <cell r="F17">
            <v>3.5</v>
          </cell>
          <cell r="G17">
            <v>3.7</v>
          </cell>
          <cell r="H17">
            <v>6.1538461538461542E-2</v>
          </cell>
        </row>
        <row r="18">
          <cell r="A18" t="str">
            <v>FRAUDES</v>
          </cell>
          <cell r="B18">
            <v>315</v>
          </cell>
          <cell r="C18">
            <v>26</v>
          </cell>
          <cell r="D18">
            <v>1</v>
          </cell>
          <cell r="E18">
            <v>21</v>
          </cell>
          <cell r="F18">
            <v>15</v>
          </cell>
          <cell r="G18">
            <v>16.2</v>
          </cell>
          <cell r="H18">
            <v>7.6246334310850442E-2</v>
          </cell>
        </row>
        <row r="19">
          <cell r="A19" t="str">
            <v>GARANTIAS INSTALACIONES</v>
          </cell>
          <cell r="B19">
            <v>19</v>
          </cell>
          <cell r="C19">
            <v>18</v>
          </cell>
          <cell r="E19">
            <v>0</v>
          </cell>
          <cell r="F19" t="str">
            <v/>
          </cell>
          <cell r="G19" t="str">
            <v/>
          </cell>
          <cell r="H19">
            <v>0.48648648648648651</v>
          </cell>
        </row>
        <row r="20">
          <cell r="A20" t="str">
            <v>INSTALACIONES ACUEDUCTO</v>
          </cell>
          <cell r="B20">
            <v>6</v>
          </cell>
          <cell r="C20">
            <v>50</v>
          </cell>
          <cell r="E20">
            <v>0</v>
          </cell>
          <cell r="F20" t="str">
            <v/>
          </cell>
          <cell r="G20" t="str">
            <v/>
          </cell>
          <cell r="H20">
            <v>0.8928571428571429</v>
          </cell>
        </row>
        <row r="21">
          <cell r="A21" t="str">
            <v>MEDIDORES 1/2 Y 1"</v>
          </cell>
          <cell r="B21">
            <v>1</v>
          </cell>
          <cell r="C21">
            <v>22</v>
          </cell>
          <cell r="E21">
            <v>0</v>
          </cell>
          <cell r="F21" t="str">
            <v/>
          </cell>
          <cell r="G21" t="str">
            <v/>
          </cell>
          <cell r="H21">
            <v>0.95652173913043481</v>
          </cell>
        </row>
        <row r="22">
          <cell r="A22" t="str">
            <v>MMTO VALVULAS E HIDRANTES</v>
          </cell>
          <cell r="B22">
            <v>1</v>
          </cell>
          <cell r="C22">
            <v>13</v>
          </cell>
          <cell r="D22">
            <v>1.6857142857142857</v>
          </cell>
          <cell r="E22">
            <v>35</v>
          </cell>
          <cell r="F22">
            <v>0</v>
          </cell>
          <cell r="G22">
            <v>0.2</v>
          </cell>
          <cell r="H22">
            <v>0.9285714285714286</v>
          </cell>
        </row>
        <row r="23">
          <cell r="A23" t="str">
            <v>OBRAS ACCESORIAS DAÑOS ACUEDUCTO</v>
          </cell>
          <cell r="B23">
            <v>0</v>
          </cell>
          <cell r="C23">
            <v>7</v>
          </cell>
          <cell r="E23">
            <v>0</v>
          </cell>
          <cell r="F23" t="str">
            <v/>
          </cell>
          <cell r="G23" t="str">
            <v/>
          </cell>
          <cell r="H23">
            <v>1</v>
          </cell>
        </row>
        <row r="24">
          <cell r="A24" t="str">
            <v>OBRAS ACCESORIAS INSTALACIONES</v>
          </cell>
          <cell r="B24">
            <v>635</v>
          </cell>
          <cell r="C24">
            <v>0</v>
          </cell>
          <cell r="E24">
            <v>0</v>
          </cell>
          <cell r="F24" t="str">
            <v/>
          </cell>
          <cell r="G24" t="str">
            <v/>
          </cell>
          <cell r="H24">
            <v>0</v>
          </cell>
        </row>
        <row r="25">
          <cell r="A25" t="str">
            <v>PITOMETRÍA</v>
          </cell>
          <cell r="B25">
            <v>38</v>
          </cell>
          <cell r="C25">
            <v>30</v>
          </cell>
          <cell r="D25">
            <v>2.875</v>
          </cell>
          <cell r="E25">
            <v>12</v>
          </cell>
          <cell r="F25">
            <v>1.1000000000000001</v>
          </cell>
          <cell r="G25">
            <v>2</v>
          </cell>
          <cell r="H25">
            <v>0.44117647058823528</v>
          </cell>
        </row>
        <row r="26">
          <cell r="A26" t="str">
            <v>PROYECTOS ACUEDUCTO</v>
          </cell>
          <cell r="B26">
            <v>1</v>
          </cell>
          <cell r="C26">
            <v>5</v>
          </cell>
          <cell r="E26">
            <v>0</v>
          </cell>
          <cell r="F26" t="str">
            <v/>
          </cell>
          <cell r="G26" t="str">
            <v/>
          </cell>
          <cell r="H26">
            <v>0.83333333333333337</v>
          </cell>
        </row>
        <row r="27">
          <cell r="A27" t="str">
            <v>REFERENCIACIÓN ACUEDUCTO</v>
          </cell>
          <cell r="B27">
            <v>3</v>
          </cell>
          <cell r="C27">
            <v>2</v>
          </cell>
          <cell r="E27">
            <v>0</v>
          </cell>
          <cell r="F27" t="str">
            <v/>
          </cell>
          <cell r="G27" t="str">
            <v/>
          </cell>
          <cell r="H27">
            <v>0.4</v>
          </cell>
        </row>
        <row r="28">
          <cell r="A28" t="str">
            <v>REVISIÓN  POSTERIOR  FRAUDES</v>
          </cell>
          <cell r="B28">
            <v>1</v>
          </cell>
          <cell r="C28">
            <v>0</v>
          </cell>
          <cell r="E28">
            <v>0</v>
          </cell>
          <cell r="F28" t="str">
            <v/>
          </cell>
          <cell r="G28" t="str">
            <v/>
          </cell>
          <cell r="H28">
            <v>0</v>
          </cell>
        </row>
        <row r="29">
          <cell r="F29" t="str">
            <v/>
          </cell>
          <cell r="G29" t="str">
            <v/>
          </cell>
          <cell r="H29" t="str">
            <v/>
          </cell>
        </row>
        <row r="30">
          <cell r="F30" t="str">
            <v/>
          </cell>
          <cell r="G30" t="str">
            <v/>
          </cell>
          <cell r="H30" t="str">
            <v/>
          </cell>
        </row>
        <row r="31">
          <cell r="F31" t="str">
            <v/>
          </cell>
          <cell r="G31" t="str">
            <v/>
          </cell>
          <cell r="H31" t="str">
            <v/>
          </cell>
        </row>
        <row r="32">
          <cell r="F32" t="str">
            <v/>
          </cell>
          <cell r="G32" t="str">
            <v/>
          </cell>
          <cell r="H32" t="str">
            <v/>
          </cell>
        </row>
        <row r="33">
          <cell r="A33" t="str">
            <v>Total general</v>
          </cell>
          <cell r="B33">
            <v>2428</v>
          </cell>
          <cell r="C33">
            <v>675</v>
          </cell>
          <cell r="F33" t="str">
            <v/>
          </cell>
          <cell r="G33" t="str">
            <v/>
          </cell>
          <cell r="H33">
            <v>0.21753142120528521</v>
          </cell>
        </row>
        <row r="35">
          <cell r="A35" t="str">
            <v>CAMBIO ACOMETIDAS CONTRATO</v>
          </cell>
          <cell r="B35">
            <v>249</v>
          </cell>
          <cell r="C35">
            <v>1</v>
          </cell>
          <cell r="D35">
            <v>3</v>
          </cell>
          <cell r="E35">
            <v>21</v>
          </cell>
          <cell r="F35">
            <v>4</v>
          </cell>
          <cell r="G35">
            <v>4</v>
          </cell>
          <cell r="H35">
            <v>4.0000000000000001E-3</v>
          </cell>
        </row>
        <row r="36">
          <cell r="A36" t="str">
            <v>CASAS SIN AGUA</v>
          </cell>
          <cell r="B36">
            <v>0</v>
          </cell>
          <cell r="C36">
            <v>1</v>
          </cell>
          <cell r="F36" t="str">
            <v/>
          </cell>
          <cell r="G36" t="str">
            <v/>
          </cell>
          <cell r="H36">
            <v>1</v>
          </cell>
        </row>
        <row r="37">
          <cell r="A37" t="str">
            <v>CORTE Y RECONEXION</v>
          </cell>
          <cell r="B37">
            <v>365</v>
          </cell>
          <cell r="C37">
            <v>97</v>
          </cell>
          <cell r="D37">
            <v>1</v>
          </cell>
          <cell r="E37">
            <v>21</v>
          </cell>
          <cell r="F37">
            <v>17.399999999999999</v>
          </cell>
          <cell r="G37">
            <v>22</v>
          </cell>
          <cell r="H37">
            <v>0.20995670995670995</v>
          </cell>
        </row>
        <row r="38">
          <cell r="A38" t="str">
            <v>DAÑOS ACUEDUCTO</v>
          </cell>
          <cell r="B38">
            <v>3</v>
          </cell>
          <cell r="C38">
            <v>0</v>
          </cell>
          <cell r="F38" t="str">
            <v/>
          </cell>
          <cell r="G38" t="str">
            <v/>
          </cell>
          <cell r="H38">
            <v>0</v>
          </cell>
        </row>
        <row r="39">
          <cell r="A39" t="str">
            <v>ESCOMBROS DAÑOS ACUEDUCTO</v>
          </cell>
          <cell r="B39">
            <v>3</v>
          </cell>
          <cell r="C39">
            <v>0</v>
          </cell>
          <cell r="F39" t="str">
            <v/>
          </cell>
          <cell r="G39" t="str">
            <v/>
          </cell>
          <cell r="H39">
            <v>0</v>
          </cell>
        </row>
        <row r="40">
          <cell r="A40" t="str">
            <v>FRAUDES</v>
          </cell>
          <cell r="B40">
            <v>2</v>
          </cell>
          <cell r="C40">
            <v>1</v>
          </cell>
          <cell r="F40" t="str">
            <v/>
          </cell>
          <cell r="G40" t="str">
            <v/>
          </cell>
          <cell r="H40">
            <v>0.33333333333333331</v>
          </cell>
        </row>
        <row r="41">
          <cell r="A41" t="str">
            <v>GARANTIAS INSTALACIONES</v>
          </cell>
          <cell r="B41">
            <v>12</v>
          </cell>
          <cell r="C41">
            <v>4</v>
          </cell>
          <cell r="D41">
            <v>1</v>
          </cell>
          <cell r="E41">
            <v>21</v>
          </cell>
          <cell r="F41">
            <v>0.6</v>
          </cell>
          <cell r="G41">
            <v>0.8</v>
          </cell>
          <cell r="H41">
            <v>0.25</v>
          </cell>
        </row>
        <row r="42">
          <cell r="A42" t="str">
            <v>INSTALACIONES ACUEDUCTO</v>
          </cell>
          <cell r="B42">
            <v>336</v>
          </cell>
          <cell r="C42">
            <v>5</v>
          </cell>
          <cell r="D42">
            <v>5</v>
          </cell>
          <cell r="E42">
            <v>21</v>
          </cell>
          <cell r="F42">
            <v>3.2</v>
          </cell>
          <cell r="G42">
            <v>3.2</v>
          </cell>
          <cell r="H42">
            <v>1.466275659824047E-2</v>
          </cell>
        </row>
        <row r="43">
          <cell r="A43" t="str">
            <v>MEDIDORES 1/2 Y 1"</v>
          </cell>
          <cell r="B43">
            <v>216</v>
          </cell>
          <cell r="C43">
            <v>1</v>
          </cell>
          <cell r="D43">
            <v>4</v>
          </cell>
          <cell r="E43">
            <v>21</v>
          </cell>
          <cell r="F43">
            <v>2.6</v>
          </cell>
          <cell r="G43">
            <v>2.6</v>
          </cell>
          <cell r="H43">
            <v>4.608294930875576E-3</v>
          </cell>
        </row>
        <row r="44">
          <cell r="A44" t="str">
            <v>MMTO VALVULAS E HIDRANTES</v>
          </cell>
          <cell r="B44">
            <v>33</v>
          </cell>
          <cell r="C44">
            <v>0</v>
          </cell>
          <cell r="D44">
            <v>3</v>
          </cell>
          <cell r="E44">
            <v>21</v>
          </cell>
          <cell r="F44">
            <v>0.5</v>
          </cell>
          <cell r="G44">
            <v>0.5</v>
          </cell>
          <cell r="H44">
            <v>0</v>
          </cell>
        </row>
        <row r="45">
          <cell r="A45" t="str">
            <v>OBRAS ACCESORIAS DAÑOS ACUEDUCTO</v>
          </cell>
          <cell r="B45">
            <v>133</v>
          </cell>
          <cell r="C45">
            <v>0</v>
          </cell>
          <cell r="D45">
            <v>3</v>
          </cell>
          <cell r="E45">
            <v>21</v>
          </cell>
          <cell r="F45">
            <v>2.1</v>
          </cell>
          <cell r="G45">
            <v>2.1</v>
          </cell>
          <cell r="H45">
            <v>0</v>
          </cell>
        </row>
        <row r="46">
          <cell r="A46" t="str">
            <v>OBRAS ACCESORIAS INSTALACIONES</v>
          </cell>
          <cell r="B46">
            <v>5</v>
          </cell>
          <cell r="C46">
            <v>0</v>
          </cell>
          <cell r="D46">
            <v>1</v>
          </cell>
          <cell r="E46">
            <v>21</v>
          </cell>
          <cell r="F46">
            <v>0.2</v>
          </cell>
          <cell r="G46">
            <v>0.2</v>
          </cell>
          <cell r="H46">
            <v>0</v>
          </cell>
        </row>
        <row r="47">
          <cell r="A47" t="str">
            <v>PROYECTOS ACUEDUCTO</v>
          </cell>
          <cell r="B47">
            <v>2</v>
          </cell>
          <cell r="C47">
            <v>0</v>
          </cell>
          <cell r="F47" t="str">
            <v/>
          </cell>
          <cell r="G47" t="str">
            <v/>
          </cell>
          <cell r="H47">
            <v>0</v>
          </cell>
        </row>
        <row r="48">
          <cell r="A48" t="str">
            <v>REFERENCIACIÓN ACUEDUCTO</v>
          </cell>
          <cell r="B48">
            <v>1</v>
          </cell>
          <cell r="C48">
            <v>0</v>
          </cell>
          <cell r="F48" t="str">
            <v/>
          </cell>
          <cell r="G48" t="str">
            <v/>
          </cell>
          <cell r="H48">
            <v>0</v>
          </cell>
        </row>
        <row r="49">
          <cell r="F49" t="str">
            <v/>
          </cell>
          <cell r="G49" t="str">
            <v/>
          </cell>
          <cell r="H49" t="str">
            <v/>
          </cell>
        </row>
        <row r="51">
          <cell r="A51" t="str">
            <v>Total general</v>
          </cell>
          <cell r="B51">
            <v>1360</v>
          </cell>
          <cell r="C51">
            <v>110</v>
          </cell>
          <cell r="F51" t="str">
            <v/>
          </cell>
          <cell r="G51" t="str">
            <v/>
          </cell>
          <cell r="H51">
            <v>7.4829931972789115E-2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-Feb"/>
      <sheetName val="Mar-Abr"/>
      <sheetName val="May-Jun"/>
      <sheetName val="Jul-Ago"/>
      <sheetName val="Sep-Oct"/>
      <sheetName val="Nov-Dic"/>
      <sheetName val="Ene-Dic EEPPM"/>
      <sheetName val="May-Dic Contrato"/>
      <sheetName val="Ene-Dic_EEPPM"/>
      <sheetName val="May-Dic_Contrato"/>
      <sheetName val="Ene-Dic_EEPPM1"/>
      <sheetName val="May-Dic_Contrato1"/>
      <sheetName val="Ene-Dic_EEPPM5"/>
      <sheetName val="May-Dic_Contrato5"/>
      <sheetName val="Ene-Dic_EEPPM2"/>
      <sheetName val="May-Dic_Contrato2"/>
      <sheetName val="Ene-Dic_EEPPM3"/>
      <sheetName val="May-Dic_Contrato3"/>
      <sheetName val="Ene-Dic_EEPPM4"/>
      <sheetName val="May-Dic_Contrato4"/>
      <sheetName val="Ene-Dic_EEPPM6"/>
      <sheetName val="May-Dic_Contrato6"/>
    </sheetNames>
    <sheetDataSet>
      <sheetData sheetId="0" refreshError="1">
        <row r="12">
          <cell r="A12" t="str">
            <v>CARROTANQUE</v>
          </cell>
          <cell r="B12">
            <v>57</v>
          </cell>
          <cell r="C12">
            <v>2</v>
          </cell>
          <cell r="D12">
            <v>1</v>
          </cell>
          <cell r="E12">
            <v>43</v>
          </cell>
          <cell r="F12">
            <v>1.3</v>
          </cell>
          <cell r="G12">
            <v>1.4</v>
          </cell>
          <cell r="H12">
            <v>3.3898305084745763E-2</v>
          </cell>
        </row>
        <row r="13">
          <cell r="A13" t="str">
            <v>CASAS SIN AGUA</v>
          </cell>
          <cell r="B13">
            <v>573</v>
          </cell>
          <cell r="C13">
            <v>548</v>
          </cell>
          <cell r="D13">
            <v>1</v>
          </cell>
          <cell r="E13">
            <v>59</v>
          </cell>
          <cell r="F13">
            <v>9.6999999999999993</v>
          </cell>
          <cell r="G13">
            <v>19</v>
          </cell>
          <cell r="H13">
            <v>0.48884924174843891</v>
          </cell>
        </row>
        <row r="14">
          <cell r="A14" t="str">
            <v>CORTE Y RECONEXION</v>
          </cell>
          <cell r="B14">
            <v>37</v>
          </cell>
          <cell r="C14">
            <v>65</v>
          </cell>
          <cell r="F14" t="str">
            <v/>
          </cell>
          <cell r="G14" t="str">
            <v/>
          </cell>
          <cell r="H14">
            <v>0.63725490196078427</v>
          </cell>
        </row>
        <row r="15">
          <cell r="A15" t="str">
            <v>DAÑOS ACUEDUCTO</v>
          </cell>
          <cell r="B15">
            <v>591</v>
          </cell>
          <cell r="C15">
            <v>205</v>
          </cell>
          <cell r="D15">
            <v>7.3050847457627119</v>
          </cell>
          <cell r="E15">
            <v>59</v>
          </cell>
          <cell r="F15">
            <v>1.4</v>
          </cell>
          <cell r="G15">
            <v>1.8</v>
          </cell>
          <cell r="H15">
            <v>0.25753768844221103</v>
          </cell>
        </row>
        <row r="16">
          <cell r="A16" t="str">
            <v>ESCOMBROS DAÑOS ACUEDUCTO</v>
          </cell>
          <cell r="B16">
            <v>271</v>
          </cell>
          <cell r="C16">
            <v>8</v>
          </cell>
          <cell r="D16">
            <v>1</v>
          </cell>
          <cell r="E16">
            <v>59</v>
          </cell>
          <cell r="F16">
            <v>4.5999999999999996</v>
          </cell>
          <cell r="G16">
            <v>4.7</v>
          </cell>
          <cell r="H16">
            <v>2.8673835125448029E-2</v>
          </cell>
        </row>
        <row r="17">
          <cell r="A17" t="str">
            <v>FRAUDES</v>
          </cell>
          <cell r="B17">
            <v>13</v>
          </cell>
          <cell r="C17">
            <v>103</v>
          </cell>
          <cell r="D17">
            <v>1</v>
          </cell>
          <cell r="E17">
            <v>11</v>
          </cell>
          <cell r="F17">
            <v>10.5</v>
          </cell>
          <cell r="G17">
            <v>10.5</v>
          </cell>
          <cell r="H17">
            <v>0.88793103448275867</v>
          </cell>
        </row>
        <row r="18">
          <cell r="A18" t="str">
            <v>GARANTIAS INSTALACIONES</v>
          </cell>
          <cell r="B18">
            <v>25</v>
          </cell>
          <cell r="C18">
            <v>40</v>
          </cell>
          <cell r="F18" t="str">
            <v/>
          </cell>
          <cell r="G18" t="str">
            <v/>
          </cell>
          <cell r="H18">
            <v>0.61538461538461542</v>
          </cell>
        </row>
        <row r="19">
          <cell r="A19" t="str">
            <v>INSTALACIONES ACUEDUCTO</v>
          </cell>
          <cell r="B19">
            <v>5</v>
          </cell>
          <cell r="C19">
            <v>81</v>
          </cell>
          <cell r="F19" t="str">
            <v/>
          </cell>
          <cell r="G19" t="str">
            <v/>
          </cell>
          <cell r="H19">
            <v>0.94186046511627908</v>
          </cell>
        </row>
        <row r="20">
          <cell r="A20" t="str">
            <v>INSTALACIONES ALCANTARILLADO</v>
          </cell>
          <cell r="B20">
            <v>5</v>
          </cell>
          <cell r="C20">
            <v>0</v>
          </cell>
          <cell r="F20" t="str">
            <v/>
          </cell>
          <cell r="G20" t="str">
            <v/>
          </cell>
          <cell r="H20">
            <v>0</v>
          </cell>
        </row>
        <row r="21">
          <cell r="A21" t="str">
            <v>MEDIDORES 1/2 Y 1"</v>
          </cell>
          <cell r="B21">
            <v>19</v>
          </cell>
          <cell r="C21">
            <v>16</v>
          </cell>
          <cell r="F21" t="str">
            <v/>
          </cell>
          <cell r="G21" t="str">
            <v/>
          </cell>
          <cell r="H21">
            <v>0.45714285714285713</v>
          </cell>
        </row>
        <row r="22">
          <cell r="A22" t="str">
            <v>MMTO VALVULAS E HIDRANTES</v>
          </cell>
          <cell r="B22">
            <v>12</v>
          </cell>
          <cell r="C22">
            <v>26</v>
          </cell>
          <cell r="D22">
            <v>1</v>
          </cell>
          <cell r="E22">
            <v>59</v>
          </cell>
          <cell r="F22">
            <v>0.2</v>
          </cell>
          <cell r="G22">
            <v>0.6</v>
          </cell>
          <cell r="H22">
            <v>0.68421052631578949</v>
          </cell>
        </row>
        <row r="23">
          <cell r="A23" t="str">
            <v>OBRAS ACCESORIAS DAÑOS ACUEDUCTO</v>
          </cell>
          <cell r="B23">
            <v>18</v>
          </cell>
          <cell r="C23">
            <v>0</v>
          </cell>
          <cell r="F23" t="str">
            <v/>
          </cell>
          <cell r="G23" t="str">
            <v/>
          </cell>
          <cell r="H23">
            <v>0</v>
          </cell>
        </row>
        <row r="24">
          <cell r="A24" t="str">
            <v>OBRAS ACCESORIAS INSTALACIONES</v>
          </cell>
          <cell r="B24">
            <v>653</v>
          </cell>
          <cell r="C24">
            <v>0</v>
          </cell>
          <cell r="F24" t="str">
            <v/>
          </cell>
          <cell r="G24" t="str">
            <v/>
          </cell>
          <cell r="H24">
            <v>0</v>
          </cell>
        </row>
        <row r="25">
          <cell r="A25" t="str">
            <v>PITOMETRÍA</v>
          </cell>
          <cell r="B25">
            <v>82</v>
          </cell>
          <cell r="C25">
            <v>95</v>
          </cell>
          <cell r="D25">
            <v>1</v>
          </cell>
          <cell r="E25">
            <v>17</v>
          </cell>
          <cell r="F25">
            <v>4.8</v>
          </cell>
          <cell r="G25">
            <v>10.4</v>
          </cell>
          <cell r="H25">
            <v>0.53672316384180796</v>
          </cell>
        </row>
        <row r="26">
          <cell r="A26" t="str">
            <v>PROYECTOS ACUEDUCTO</v>
          </cell>
          <cell r="B26">
            <v>47</v>
          </cell>
          <cell r="C26">
            <v>62</v>
          </cell>
          <cell r="F26" t="str">
            <v/>
          </cell>
          <cell r="G26" t="str">
            <v/>
          </cell>
          <cell r="H26">
            <v>0.56880733944954132</v>
          </cell>
        </row>
        <row r="27">
          <cell r="A27" t="str">
            <v>REFERENCIACIÓN ACUEDUCTO</v>
          </cell>
          <cell r="B27">
            <v>3</v>
          </cell>
          <cell r="C27">
            <v>3</v>
          </cell>
          <cell r="F27" t="str">
            <v/>
          </cell>
          <cell r="G27" t="str">
            <v/>
          </cell>
          <cell r="H27">
            <v>0.5</v>
          </cell>
        </row>
        <row r="28">
          <cell r="A28" t="str">
            <v>REPARACION CAJAS DE MEDIDORES</v>
          </cell>
          <cell r="B28">
            <v>1</v>
          </cell>
          <cell r="C28">
            <v>19</v>
          </cell>
          <cell r="F28" t="str">
            <v/>
          </cell>
          <cell r="G28" t="str">
            <v/>
          </cell>
          <cell r="H28">
            <v>0.95</v>
          </cell>
        </row>
        <row r="29">
          <cell r="A29" t="str">
            <v>RETIRO MEDIDOR</v>
          </cell>
          <cell r="B29">
            <v>113</v>
          </cell>
          <cell r="C29">
            <v>65</v>
          </cell>
          <cell r="F29" t="str">
            <v/>
          </cell>
          <cell r="G29" t="str">
            <v/>
          </cell>
          <cell r="H29">
            <v>0.3651685393258427</v>
          </cell>
        </row>
        <row r="30">
          <cell r="A30" t="str">
            <v>TAPONADAS</v>
          </cell>
          <cell r="B30">
            <v>1</v>
          </cell>
          <cell r="C30">
            <v>7</v>
          </cell>
          <cell r="F30" t="str">
            <v/>
          </cell>
          <cell r="G30" t="str">
            <v/>
          </cell>
          <cell r="H30">
            <v>0.875</v>
          </cell>
        </row>
        <row r="31">
          <cell r="A31" t="str">
            <v>TRASLADO MEDIDOR</v>
          </cell>
          <cell r="B31">
            <v>0</v>
          </cell>
          <cell r="C31">
            <v>6</v>
          </cell>
          <cell r="F31" t="str">
            <v/>
          </cell>
          <cell r="G31" t="str">
            <v/>
          </cell>
          <cell r="H31">
            <v>1</v>
          </cell>
        </row>
        <row r="32">
          <cell r="F32" t="str">
            <v/>
          </cell>
          <cell r="G32" t="str">
            <v/>
          </cell>
          <cell r="H32" t="str">
            <v/>
          </cell>
        </row>
        <row r="33">
          <cell r="A33" t="str">
            <v>Total general</v>
          </cell>
          <cell r="B33">
            <v>2526</v>
          </cell>
          <cell r="C33">
            <v>1351</v>
          </cell>
          <cell r="F33" t="str">
            <v/>
          </cell>
          <cell r="G33" t="str">
            <v/>
          </cell>
          <cell r="H33">
            <v>0.34846530822801136</v>
          </cell>
        </row>
        <row r="34">
          <cell r="F34" t="str">
            <v/>
          </cell>
          <cell r="G34" t="str">
            <v/>
          </cell>
          <cell r="H34" t="str">
            <v/>
          </cell>
        </row>
      </sheetData>
      <sheetData sheetId="1" refreshError="1">
        <row r="12">
          <cell r="A12" t="str">
            <v>CARROTANQUE</v>
          </cell>
          <cell r="B12">
            <v>104</v>
          </cell>
          <cell r="C12">
            <v>14</v>
          </cell>
          <cell r="D12">
            <v>1</v>
          </cell>
          <cell r="E12">
            <v>46</v>
          </cell>
          <cell r="F12">
            <v>2.2999999999999998</v>
          </cell>
          <cell r="G12">
            <v>2.6</v>
          </cell>
          <cell r="H12">
            <v>0.11864406779661017</v>
          </cell>
        </row>
        <row r="13">
          <cell r="A13" t="str">
            <v>CASAS SIN AGUA</v>
          </cell>
          <cell r="B13">
            <v>546</v>
          </cell>
          <cell r="C13">
            <v>609</v>
          </cell>
          <cell r="D13">
            <v>1</v>
          </cell>
          <cell r="E13">
            <v>61</v>
          </cell>
          <cell r="F13">
            <v>9</v>
          </cell>
          <cell r="G13">
            <v>18.899999999999999</v>
          </cell>
          <cell r="H13">
            <v>0.52727272727272723</v>
          </cell>
        </row>
        <row r="14">
          <cell r="A14" t="str">
            <v>CORTE Y RECONEXION</v>
          </cell>
          <cell r="B14">
            <v>122</v>
          </cell>
          <cell r="C14">
            <v>138</v>
          </cell>
          <cell r="F14" t="str">
            <v/>
          </cell>
          <cell r="G14" t="str">
            <v/>
          </cell>
          <cell r="H14">
            <v>0.53076923076923077</v>
          </cell>
        </row>
        <row r="15">
          <cell r="A15" t="str">
            <v>DAÑOS ACUEDUCTO</v>
          </cell>
          <cell r="B15">
            <v>666</v>
          </cell>
          <cell r="C15">
            <v>234</v>
          </cell>
          <cell r="D15">
            <v>7.442622950819672</v>
          </cell>
          <cell r="E15">
            <v>61</v>
          </cell>
          <cell r="F15">
            <v>1.5</v>
          </cell>
          <cell r="G15">
            <v>2</v>
          </cell>
          <cell r="H15">
            <v>0.26</v>
          </cell>
        </row>
        <row r="16">
          <cell r="A16" t="str">
            <v>ESCOMBROS DAÑOS ACUEDUCTO</v>
          </cell>
          <cell r="B16">
            <v>221</v>
          </cell>
          <cell r="C16">
            <v>9</v>
          </cell>
          <cell r="D16">
            <v>1</v>
          </cell>
          <cell r="E16">
            <v>61</v>
          </cell>
          <cell r="F16">
            <v>3.6</v>
          </cell>
          <cell r="G16">
            <v>3.8</v>
          </cell>
          <cell r="H16">
            <v>3.9130434782608699E-2</v>
          </cell>
        </row>
        <row r="17">
          <cell r="A17" t="str">
            <v>FRAUDES</v>
          </cell>
          <cell r="B17">
            <v>62</v>
          </cell>
          <cell r="C17">
            <v>249</v>
          </cell>
          <cell r="D17">
            <v>1</v>
          </cell>
          <cell r="E17">
            <v>14</v>
          </cell>
          <cell r="F17">
            <v>22.2</v>
          </cell>
          <cell r="G17">
            <v>22.2</v>
          </cell>
          <cell r="H17">
            <v>0.80064308681672025</v>
          </cell>
        </row>
        <row r="18">
          <cell r="A18" t="str">
            <v>GARANTIAS INSTALACIONES</v>
          </cell>
          <cell r="B18">
            <v>70</v>
          </cell>
          <cell r="C18">
            <v>23</v>
          </cell>
          <cell r="F18" t="str">
            <v/>
          </cell>
          <cell r="G18" t="str">
            <v/>
          </cell>
          <cell r="H18">
            <v>0.24731182795698925</v>
          </cell>
        </row>
        <row r="19">
          <cell r="A19" t="str">
            <v>INSTALACIONES ACUEDUCTO</v>
          </cell>
          <cell r="B19">
            <v>13</v>
          </cell>
          <cell r="C19">
            <v>39</v>
          </cell>
          <cell r="F19" t="str">
            <v/>
          </cell>
          <cell r="G19" t="str">
            <v/>
          </cell>
          <cell r="H19">
            <v>0.75</v>
          </cell>
        </row>
        <row r="20">
          <cell r="A20" t="str">
            <v>INSTALACIONES ALCANTARILLADO</v>
          </cell>
          <cell r="B20">
            <v>3</v>
          </cell>
          <cell r="C20">
            <v>3</v>
          </cell>
          <cell r="F20" t="str">
            <v/>
          </cell>
          <cell r="G20" t="str">
            <v/>
          </cell>
          <cell r="H20">
            <v>0.5</v>
          </cell>
        </row>
        <row r="21">
          <cell r="A21" t="str">
            <v>MEDIDORES 1/2 Y 1"</v>
          </cell>
          <cell r="B21">
            <v>7</v>
          </cell>
          <cell r="C21">
            <v>18</v>
          </cell>
          <cell r="F21" t="str">
            <v/>
          </cell>
          <cell r="G21" t="str">
            <v/>
          </cell>
          <cell r="H21">
            <v>0.72</v>
          </cell>
        </row>
        <row r="22">
          <cell r="A22" t="str">
            <v>MMTO VALVULAS E HIDRANTES</v>
          </cell>
          <cell r="B22">
            <v>10</v>
          </cell>
          <cell r="C22">
            <v>19</v>
          </cell>
          <cell r="D22">
            <v>1</v>
          </cell>
          <cell r="E22">
            <v>61</v>
          </cell>
          <cell r="F22">
            <v>0.2</v>
          </cell>
          <cell r="G22">
            <v>0.5</v>
          </cell>
          <cell r="H22">
            <v>0.65517241379310343</v>
          </cell>
        </row>
        <row r="23">
          <cell r="A23" t="str">
            <v>OBRAS ACCESORIAS DAÑOS ACUEDUCTO</v>
          </cell>
          <cell r="B23">
            <v>2</v>
          </cell>
          <cell r="C23">
            <v>14</v>
          </cell>
          <cell r="F23" t="str">
            <v/>
          </cell>
          <cell r="G23" t="str">
            <v/>
          </cell>
          <cell r="H23">
            <v>0.875</v>
          </cell>
        </row>
        <row r="24">
          <cell r="A24" t="str">
            <v>OBRAS ACCESORIAS INSTALACIONES</v>
          </cell>
          <cell r="B24">
            <v>544</v>
          </cell>
          <cell r="C24">
            <v>1</v>
          </cell>
          <cell r="F24" t="str">
            <v/>
          </cell>
          <cell r="G24" t="str">
            <v/>
          </cell>
          <cell r="H24">
            <v>1.834862385321101E-3</v>
          </cell>
        </row>
        <row r="25">
          <cell r="A25" t="str">
            <v>PITOMETRÍA</v>
          </cell>
          <cell r="B25">
            <v>72</v>
          </cell>
          <cell r="C25">
            <v>75</v>
          </cell>
          <cell r="D25">
            <v>1</v>
          </cell>
          <cell r="E25">
            <v>21</v>
          </cell>
          <cell r="F25">
            <v>3.4</v>
          </cell>
          <cell r="G25">
            <v>7</v>
          </cell>
          <cell r="H25">
            <v>0.51020408163265307</v>
          </cell>
        </row>
        <row r="26">
          <cell r="A26" t="str">
            <v>PROYECTOS ACUEDUCTO</v>
          </cell>
          <cell r="B26">
            <v>52</v>
          </cell>
          <cell r="C26">
            <v>4</v>
          </cell>
          <cell r="F26" t="str">
            <v/>
          </cell>
          <cell r="G26" t="str">
            <v/>
          </cell>
          <cell r="H26">
            <v>7.1428571428571425E-2</v>
          </cell>
        </row>
        <row r="27">
          <cell r="A27" t="str">
            <v>REFERENCIACIÓN ACUEDUCTO</v>
          </cell>
          <cell r="B27">
            <v>1</v>
          </cell>
          <cell r="C27">
            <v>0</v>
          </cell>
          <cell r="F27" t="str">
            <v/>
          </cell>
          <cell r="G27" t="str">
            <v/>
          </cell>
          <cell r="H27">
            <v>0</v>
          </cell>
        </row>
        <row r="28">
          <cell r="A28" t="str">
            <v>REPARACION CAJAS DE MEDIDORES</v>
          </cell>
          <cell r="B28">
            <v>1</v>
          </cell>
          <cell r="C28">
            <v>6</v>
          </cell>
          <cell r="F28" t="str">
            <v/>
          </cell>
          <cell r="G28" t="str">
            <v/>
          </cell>
          <cell r="H28">
            <v>0.8571428571428571</v>
          </cell>
        </row>
        <row r="29">
          <cell r="A29" t="str">
            <v>RETIRO MEDIDOR</v>
          </cell>
          <cell r="B29">
            <v>121</v>
          </cell>
          <cell r="C29">
            <v>52</v>
          </cell>
          <cell r="F29" t="str">
            <v/>
          </cell>
          <cell r="G29" t="str">
            <v/>
          </cell>
          <cell r="H29">
            <v>0.30057803468208094</v>
          </cell>
        </row>
        <row r="30">
          <cell r="A30" t="str">
            <v>TAPONADAS</v>
          </cell>
          <cell r="B30">
            <v>2</v>
          </cell>
          <cell r="C30">
            <v>20</v>
          </cell>
          <cell r="F30" t="str">
            <v/>
          </cell>
          <cell r="G30" t="str">
            <v/>
          </cell>
          <cell r="H30">
            <v>0.90909090909090906</v>
          </cell>
        </row>
        <row r="31">
          <cell r="A31" t="str">
            <v>TRASLADO MEDIDOR</v>
          </cell>
          <cell r="B31">
            <v>1</v>
          </cell>
          <cell r="C31">
            <v>0</v>
          </cell>
          <cell r="F31" t="str">
            <v/>
          </cell>
          <cell r="G31" t="str">
            <v/>
          </cell>
          <cell r="H31">
            <v>0</v>
          </cell>
        </row>
        <row r="32">
          <cell r="F32" t="str">
            <v/>
          </cell>
          <cell r="G32" t="str">
            <v/>
          </cell>
          <cell r="H32" t="str">
            <v/>
          </cell>
        </row>
        <row r="33">
          <cell r="A33" t="str">
            <v>Total general</v>
          </cell>
          <cell r="B33">
            <v>2620</v>
          </cell>
          <cell r="C33">
            <v>1527</v>
          </cell>
          <cell r="F33" t="str">
            <v/>
          </cell>
          <cell r="G33" t="str">
            <v/>
          </cell>
          <cell r="H33">
            <v>0.36821798890764407</v>
          </cell>
        </row>
        <row r="34">
          <cell r="F34" t="str">
            <v/>
          </cell>
          <cell r="G34" t="str">
            <v/>
          </cell>
          <cell r="H34" t="str">
            <v/>
          </cell>
        </row>
      </sheetData>
      <sheetData sheetId="2" refreshError="1">
        <row r="12">
          <cell r="A12" t="str">
            <v>CAMBIO ACOMETIDAS CONTRATO</v>
          </cell>
          <cell r="B12">
            <v>2</v>
          </cell>
          <cell r="C12">
            <v>5</v>
          </cell>
          <cell r="F12" t="str">
            <v/>
          </cell>
          <cell r="G12" t="str">
            <v/>
          </cell>
          <cell r="H12">
            <v>0.7142857142857143</v>
          </cell>
        </row>
        <row r="13">
          <cell r="A13" t="str">
            <v>CARROTANQUE</v>
          </cell>
          <cell r="B13">
            <v>80</v>
          </cell>
          <cell r="C13">
            <v>2</v>
          </cell>
          <cell r="D13">
            <v>1</v>
          </cell>
          <cell r="E13">
            <v>44</v>
          </cell>
          <cell r="F13">
            <v>1.8</v>
          </cell>
          <cell r="G13">
            <v>1.9</v>
          </cell>
          <cell r="H13">
            <v>2.4390243902439025E-2</v>
          </cell>
        </row>
        <row r="14">
          <cell r="A14" t="str">
            <v>CASAS SIN AGUA</v>
          </cell>
          <cell r="B14">
            <v>500</v>
          </cell>
          <cell r="C14">
            <v>535</v>
          </cell>
          <cell r="D14">
            <v>1</v>
          </cell>
          <cell r="E14">
            <v>61</v>
          </cell>
          <cell r="F14">
            <v>8.1999999999999993</v>
          </cell>
          <cell r="G14">
            <v>17</v>
          </cell>
          <cell r="H14">
            <v>0.51690821256038644</v>
          </cell>
        </row>
        <row r="15">
          <cell r="A15" t="str">
            <v>CORTE Y RECONEXION</v>
          </cell>
          <cell r="B15">
            <v>19</v>
          </cell>
          <cell r="C15">
            <v>17</v>
          </cell>
          <cell r="F15" t="str">
            <v/>
          </cell>
          <cell r="G15" t="str">
            <v/>
          </cell>
          <cell r="H15">
            <v>0.47222222222222221</v>
          </cell>
        </row>
        <row r="16">
          <cell r="A16" t="str">
            <v>DAÑOS ACUEDUCTO</v>
          </cell>
          <cell r="B16">
            <v>598</v>
          </cell>
          <cell r="C16">
            <v>259</v>
          </cell>
          <cell r="D16">
            <v>7.278688524590164</v>
          </cell>
          <cell r="E16">
            <v>61</v>
          </cell>
          <cell r="F16">
            <v>1.3</v>
          </cell>
          <cell r="G16">
            <v>1.9</v>
          </cell>
          <cell r="H16">
            <v>0.30221703617269546</v>
          </cell>
        </row>
        <row r="17">
          <cell r="A17" t="str">
            <v>ESCOMBROS DAÑOS ACUEDUCTO</v>
          </cell>
          <cell r="B17">
            <v>188</v>
          </cell>
          <cell r="C17">
            <v>9</v>
          </cell>
          <cell r="D17">
            <v>1</v>
          </cell>
          <cell r="E17">
            <v>61</v>
          </cell>
          <cell r="F17">
            <v>3.1</v>
          </cell>
          <cell r="G17">
            <v>3.2</v>
          </cell>
          <cell r="H17">
            <v>4.5685279187817257E-2</v>
          </cell>
        </row>
        <row r="18">
          <cell r="A18" t="str">
            <v>FRAUDES</v>
          </cell>
          <cell r="B18">
            <v>234</v>
          </cell>
          <cell r="C18">
            <v>222</v>
          </cell>
          <cell r="D18">
            <v>1</v>
          </cell>
          <cell r="E18">
            <v>18</v>
          </cell>
          <cell r="F18">
            <v>13</v>
          </cell>
          <cell r="G18">
            <v>25.3</v>
          </cell>
          <cell r="H18">
            <v>0.48684210526315791</v>
          </cell>
        </row>
        <row r="19">
          <cell r="A19" t="str">
            <v>GARANTIAS INSTALACIONES</v>
          </cell>
          <cell r="B19">
            <v>13</v>
          </cell>
          <cell r="C19">
            <v>7</v>
          </cell>
          <cell r="F19" t="str">
            <v/>
          </cell>
          <cell r="G19" t="str">
            <v/>
          </cell>
          <cell r="H19">
            <v>0.35</v>
          </cell>
        </row>
        <row r="20">
          <cell r="A20" t="str">
            <v>INSTALACIONES ACUEDUCTO</v>
          </cell>
          <cell r="B20">
            <v>48</v>
          </cell>
          <cell r="C20">
            <v>104</v>
          </cell>
          <cell r="F20" t="str">
            <v/>
          </cell>
          <cell r="G20" t="str">
            <v/>
          </cell>
          <cell r="H20">
            <v>0.68421052631578949</v>
          </cell>
        </row>
        <row r="21">
          <cell r="A21" t="str">
            <v>INSTALACIONES ALCANTARILLADO</v>
          </cell>
          <cell r="B21">
            <v>8</v>
          </cell>
          <cell r="C21">
            <v>0</v>
          </cell>
          <cell r="F21" t="str">
            <v/>
          </cell>
          <cell r="G21" t="str">
            <v/>
          </cell>
          <cell r="H21">
            <v>0</v>
          </cell>
        </row>
        <row r="22">
          <cell r="A22" t="str">
            <v>MEDIDORES 1/2 Y 1"</v>
          </cell>
          <cell r="B22">
            <v>3</v>
          </cell>
          <cell r="C22">
            <v>4</v>
          </cell>
          <cell r="F22" t="str">
            <v/>
          </cell>
          <cell r="G22" t="str">
            <v/>
          </cell>
          <cell r="H22">
            <v>0.5714285714285714</v>
          </cell>
        </row>
        <row r="23">
          <cell r="A23" t="str">
            <v>MMTO VALVULAS E HIDRANTES</v>
          </cell>
          <cell r="B23">
            <v>2</v>
          </cell>
          <cell r="C23">
            <v>1</v>
          </cell>
          <cell r="D23">
            <v>1</v>
          </cell>
          <cell r="E23">
            <v>61</v>
          </cell>
          <cell r="F23">
            <v>0</v>
          </cell>
          <cell r="G23">
            <v>0</v>
          </cell>
          <cell r="H23">
            <v>0.33333333333333331</v>
          </cell>
        </row>
        <row r="24">
          <cell r="A24" t="str">
            <v>OBRAS ACCESORIAS DAÑOS ACUEDUCTO</v>
          </cell>
          <cell r="B24">
            <v>4</v>
          </cell>
          <cell r="C24">
            <v>23</v>
          </cell>
          <cell r="F24" t="str">
            <v/>
          </cell>
          <cell r="G24" t="str">
            <v/>
          </cell>
          <cell r="H24">
            <v>0.85185185185185186</v>
          </cell>
        </row>
        <row r="25">
          <cell r="A25" t="str">
            <v>OBRAS ACCESORIAS INSTALACIONES</v>
          </cell>
          <cell r="B25">
            <v>1107</v>
          </cell>
          <cell r="C25">
            <v>0</v>
          </cell>
          <cell r="F25" t="str">
            <v/>
          </cell>
          <cell r="G25" t="str">
            <v/>
          </cell>
          <cell r="H25">
            <v>0</v>
          </cell>
        </row>
        <row r="26">
          <cell r="A26" t="str">
            <v>PITOMETRÍA</v>
          </cell>
          <cell r="B26">
            <v>150</v>
          </cell>
          <cell r="C26">
            <v>65</v>
          </cell>
          <cell r="D26">
            <v>1</v>
          </cell>
          <cell r="E26">
            <v>20</v>
          </cell>
          <cell r="F26">
            <v>7.5</v>
          </cell>
          <cell r="G26">
            <v>10.8</v>
          </cell>
          <cell r="H26">
            <v>0.30232558139534882</v>
          </cell>
        </row>
        <row r="27">
          <cell r="A27" t="str">
            <v>PROYECTOS ACUEDUCTO</v>
          </cell>
          <cell r="B27">
            <v>62</v>
          </cell>
          <cell r="C27">
            <v>1</v>
          </cell>
          <cell r="F27" t="str">
            <v/>
          </cell>
          <cell r="G27" t="str">
            <v/>
          </cell>
          <cell r="H27">
            <v>1.5873015873015872E-2</v>
          </cell>
        </row>
        <row r="28">
          <cell r="A28" t="str">
            <v>REFERENCIACIÓN ACUEDUCTO</v>
          </cell>
          <cell r="B28">
            <v>1</v>
          </cell>
          <cell r="C28">
            <v>3</v>
          </cell>
          <cell r="F28" t="str">
            <v/>
          </cell>
          <cell r="G28" t="str">
            <v/>
          </cell>
          <cell r="H28">
            <v>0.75</v>
          </cell>
        </row>
        <row r="29">
          <cell r="A29" t="str">
            <v>TRASLADO MEDIDOR</v>
          </cell>
          <cell r="B29">
            <v>1</v>
          </cell>
          <cell r="C29">
            <v>0</v>
          </cell>
          <cell r="F29" t="str">
            <v/>
          </cell>
          <cell r="G29" t="str">
            <v/>
          </cell>
          <cell r="H29">
            <v>0</v>
          </cell>
        </row>
        <row r="30">
          <cell r="F30" t="str">
            <v/>
          </cell>
          <cell r="G30" t="str">
            <v/>
          </cell>
          <cell r="H30" t="str">
            <v/>
          </cell>
        </row>
        <row r="31">
          <cell r="A31" t="str">
            <v>Total general</v>
          </cell>
          <cell r="B31">
            <v>3020</v>
          </cell>
          <cell r="C31">
            <v>1257</v>
          </cell>
          <cell r="F31" t="str">
            <v/>
          </cell>
          <cell r="G31" t="str">
            <v/>
          </cell>
          <cell r="H31">
            <v>0.29389759176993219</v>
          </cell>
        </row>
        <row r="32">
          <cell r="F32" t="str">
            <v/>
          </cell>
          <cell r="G32" t="str">
            <v/>
          </cell>
          <cell r="H32" t="str">
            <v/>
          </cell>
        </row>
      </sheetData>
      <sheetData sheetId="3" refreshError="1">
        <row r="12">
          <cell r="A12" t="str">
            <v>CAMBIO ACOMETIDAS CONTRATO</v>
          </cell>
          <cell r="B12">
            <v>6</v>
          </cell>
          <cell r="C12">
            <v>4</v>
          </cell>
          <cell r="F12" t="str">
            <v/>
          </cell>
          <cell r="G12" t="str">
            <v/>
          </cell>
          <cell r="H12">
            <v>0.4</v>
          </cell>
        </row>
        <row r="13">
          <cell r="A13" t="str">
            <v>CARROTANQUE</v>
          </cell>
          <cell r="B13">
            <v>65</v>
          </cell>
          <cell r="C13">
            <v>1</v>
          </cell>
          <cell r="D13">
            <v>1</v>
          </cell>
          <cell r="E13">
            <v>45</v>
          </cell>
          <cell r="F13">
            <v>1.4</v>
          </cell>
          <cell r="G13">
            <v>1.5</v>
          </cell>
          <cell r="H13">
            <v>1.5151515151515152E-2</v>
          </cell>
        </row>
        <row r="14">
          <cell r="A14" t="str">
            <v>CASAS SIN AGUA</v>
          </cell>
          <cell r="B14">
            <v>477</v>
          </cell>
          <cell r="C14">
            <v>610</v>
          </cell>
          <cell r="D14">
            <v>1</v>
          </cell>
          <cell r="E14">
            <v>62</v>
          </cell>
          <cell r="F14">
            <v>7.7</v>
          </cell>
          <cell r="G14">
            <v>17.5</v>
          </cell>
          <cell r="H14">
            <v>0.56117755289788407</v>
          </cell>
        </row>
        <row r="15">
          <cell r="A15" t="str">
            <v>CORTE Y RECONEXION</v>
          </cell>
          <cell r="B15">
            <v>8</v>
          </cell>
          <cell r="C15">
            <v>4</v>
          </cell>
          <cell r="F15" t="str">
            <v/>
          </cell>
          <cell r="G15" t="str">
            <v/>
          </cell>
          <cell r="H15">
            <v>0.33333333333333331</v>
          </cell>
        </row>
        <row r="16">
          <cell r="A16" t="str">
            <v>DAÑOS ACUEDUCTO</v>
          </cell>
          <cell r="B16">
            <v>572</v>
          </cell>
          <cell r="C16">
            <v>218</v>
          </cell>
          <cell r="D16">
            <v>7.306451612903226</v>
          </cell>
          <cell r="E16">
            <v>62</v>
          </cell>
          <cell r="F16">
            <v>1.3</v>
          </cell>
          <cell r="G16">
            <v>1.7</v>
          </cell>
          <cell r="H16">
            <v>0.27594936708860762</v>
          </cell>
        </row>
        <row r="17">
          <cell r="A17" t="str">
            <v>ESCOMBROS DAÑOS ACUEDUCTO</v>
          </cell>
          <cell r="B17">
            <v>226</v>
          </cell>
          <cell r="C17">
            <v>9</v>
          </cell>
          <cell r="D17">
            <v>1</v>
          </cell>
          <cell r="E17">
            <v>62</v>
          </cell>
          <cell r="F17">
            <v>3.6</v>
          </cell>
          <cell r="G17">
            <v>3.8</v>
          </cell>
          <cell r="H17">
            <v>3.8297872340425532E-2</v>
          </cell>
        </row>
        <row r="18">
          <cell r="A18" t="str">
            <v>FRAUDES</v>
          </cell>
          <cell r="B18">
            <v>213</v>
          </cell>
          <cell r="C18">
            <v>103</v>
          </cell>
          <cell r="D18">
            <v>1</v>
          </cell>
          <cell r="E18">
            <v>16</v>
          </cell>
          <cell r="F18">
            <v>13.3</v>
          </cell>
          <cell r="G18">
            <v>19.8</v>
          </cell>
          <cell r="H18">
            <v>0.32594936708860761</v>
          </cell>
        </row>
        <row r="19">
          <cell r="A19" t="str">
            <v>GARANTIAS INSTALACIONES</v>
          </cell>
          <cell r="B19">
            <v>13</v>
          </cell>
          <cell r="C19">
            <v>5</v>
          </cell>
          <cell r="F19" t="str">
            <v/>
          </cell>
          <cell r="G19" t="str">
            <v/>
          </cell>
          <cell r="H19">
            <v>0.27777777777777779</v>
          </cell>
        </row>
        <row r="20">
          <cell r="A20" t="str">
            <v>INSTALACIONES ACUEDUCTO</v>
          </cell>
          <cell r="B20">
            <v>27</v>
          </cell>
          <cell r="C20">
            <v>42</v>
          </cell>
          <cell r="F20" t="str">
            <v/>
          </cell>
          <cell r="G20" t="str">
            <v/>
          </cell>
          <cell r="H20">
            <v>0.60869565217391308</v>
          </cell>
        </row>
        <row r="21">
          <cell r="A21" t="str">
            <v>MEDIDORES 1/2 Y 1"</v>
          </cell>
          <cell r="B21">
            <v>8</v>
          </cell>
          <cell r="C21">
            <v>1</v>
          </cell>
          <cell r="F21" t="str">
            <v/>
          </cell>
          <cell r="G21" t="str">
            <v/>
          </cell>
          <cell r="H21">
            <v>0.1111111111111111</v>
          </cell>
        </row>
        <row r="22">
          <cell r="A22" t="str">
            <v>MMTO VALVULAS E HIDRANTES</v>
          </cell>
          <cell r="B22">
            <v>6</v>
          </cell>
          <cell r="C22">
            <v>7</v>
          </cell>
          <cell r="D22">
            <v>1</v>
          </cell>
          <cell r="E22">
            <v>62</v>
          </cell>
          <cell r="F22">
            <v>0.1</v>
          </cell>
          <cell r="G22">
            <v>0.2</v>
          </cell>
          <cell r="H22">
            <v>0.53846153846153844</v>
          </cell>
        </row>
        <row r="23">
          <cell r="A23" t="str">
            <v>OBRAS ACCESORIAS DAÑOS ACUEDUCTO</v>
          </cell>
          <cell r="B23">
            <v>9</v>
          </cell>
          <cell r="C23">
            <v>16</v>
          </cell>
          <cell r="F23" t="str">
            <v/>
          </cell>
          <cell r="G23" t="str">
            <v/>
          </cell>
          <cell r="H23">
            <v>0.64</v>
          </cell>
        </row>
        <row r="24">
          <cell r="A24" t="str">
            <v>OBRAS ACCESORIAS INSTALACIONES</v>
          </cell>
          <cell r="B24">
            <v>1223</v>
          </cell>
          <cell r="C24">
            <v>0</v>
          </cell>
          <cell r="F24" t="str">
            <v/>
          </cell>
          <cell r="G24" t="str">
            <v/>
          </cell>
          <cell r="H24">
            <v>0</v>
          </cell>
        </row>
        <row r="25">
          <cell r="A25" t="str">
            <v>PITOMETRÍA</v>
          </cell>
          <cell r="B25">
            <v>83</v>
          </cell>
          <cell r="C25">
            <v>48</v>
          </cell>
          <cell r="D25">
            <v>1</v>
          </cell>
          <cell r="E25">
            <v>20</v>
          </cell>
          <cell r="F25">
            <v>4.2</v>
          </cell>
          <cell r="G25">
            <v>6.6</v>
          </cell>
          <cell r="H25">
            <v>0.36641221374045801</v>
          </cell>
        </row>
        <row r="26">
          <cell r="A26" t="str">
            <v>PROYECTOS ACUEDUCTO</v>
          </cell>
          <cell r="B26">
            <v>70</v>
          </cell>
          <cell r="C26">
            <v>17</v>
          </cell>
          <cell r="F26" t="str">
            <v/>
          </cell>
          <cell r="G26" t="str">
            <v/>
          </cell>
          <cell r="H26">
            <v>0.19540229885057472</v>
          </cell>
        </row>
        <row r="27">
          <cell r="F27" t="str">
            <v/>
          </cell>
          <cell r="G27" t="str">
            <v/>
          </cell>
          <cell r="H27" t="str">
            <v/>
          </cell>
        </row>
        <row r="28">
          <cell r="A28" t="str">
            <v>Total general</v>
          </cell>
          <cell r="B28">
            <v>3006</v>
          </cell>
          <cell r="C28">
            <v>1085</v>
          </cell>
          <cell r="F28" t="str">
            <v/>
          </cell>
          <cell r="G28" t="str">
            <v/>
          </cell>
          <cell r="H28">
            <v>0.26521632852603277</v>
          </cell>
        </row>
        <row r="29">
          <cell r="F29" t="str">
            <v/>
          </cell>
          <cell r="G29" t="str">
            <v/>
          </cell>
          <cell r="H29" t="str">
            <v/>
          </cell>
        </row>
      </sheetData>
      <sheetData sheetId="4" refreshError="1">
        <row r="12">
          <cell r="A12" t="str">
            <v>CAMBIO ACOMETIDAS CONTRATO</v>
          </cell>
          <cell r="B12">
            <v>3</v>
          </cell>
          <cell r="C12">
            <v>2</v>
          </cell>
          <cell r="F12" t="str">
            <v/>
          </cell>
          <cell r="G12" t="str">
            <v/>
          </cell>
          <cell r="H12">
            <v>0.4</v>
          </cell>
        </row>
        <row r="13">
          <cell r="A13" t="str">
            <v>CARROTANQUE</v>
          </cell>
          <cell r="B13">
            <v>21</v>
          </cell>
          <cell r="C13">
            <v>1</v>
          </cell>
          <cell r="D13">
            <v>1</v>
          </cell>
          <cell r="E13">
            <v>46</v>
          </cell>
          <cell r="F13">
            <v>0.5</v>
          </cell>
          <cell r="G13">
            <v>0.5</v>
          </cell>
          <cell r="H13">
            <v>4.5454545454545456E-2</v>
          </cell>
        </row>
        <row r="14">
          <cell r="A14" t="str">
            <v>CASAS SIN AGUA</v>
          </cell>
          <cell r="B14">
            <v>419</v>
          </cell>
          <cell r="C14">
            <v>603</v>
          </cell>
          <cell r="D14">
            <v>1</v>
          </cell>
          <cell r="E14">
            <v>61</v>
          </cell>
          <cell r="F14">
            <v>6.9</v>
          </cell>
          <cell r="G14">
            <v>16.8</v>
          </cell>
          <cell r="H14">
            <v>0.59001956947162426</v>
          </cell>
        </row>
        <row r="15">
          <cell r="A15" t="str">
            <v>CORTE Y RECONEXION</v>
          </cell>
          <cell r="B15">
            <v>7</v>
          </cell>
          <cell r="C15">
            <v>8</v>
          </cell>
          <cell r="F15" t="str">
            <v/>
          </cell>
          <cell r="G15" t="str">
            <v/>
          </cell>
          <cell r="H15">
            <v>0.53333333333333333</v>
          </cell>
        </row>
        <row r="16">
          <cell r="A16" t="str">
            <v>DAÑOS ACUEDUCTO</v>
          </cell>
          <cell r="B16">
            <v>537</v>
          </cell>
          <cell r="C16">
            <v>199</v>
          </cell>
          <cell r="D16">
            <v>7.32258064516129</v>
          </cell>
          <cell r="E16">
            <v>61</v>
          </cell>
          <cell r="F16">
            <v>1.2</v>
          </cell>
          <cell r="G16">
            <v>1.6</v>
          </cell>
          <cell r="H16">
            <v>0.2703804347826087</v>
          </cell>
        </row>
        <row r="17">
          <cell r="A17" t="str">
            <v>ESCOMBROS DAÑOS ACUEDUCTO</v>
          </cell>
          <cell r="B17">
            <v>220</v>
          </cell>
          <cell r="C17">
            <v>6</v>
          </cell>
          <cell r="D17">
            <v>1</v>
          </cell>
          <cell r="E17">
            <v>61</v>
          </cell>
          <cell r="F17">
            <v>3.6</v>
          </cell>
          <cell r="G17">
            <v>3.7</v>
          </cell>
          <cell r="H17">
            <v>2.6548672566371681E-2</v>
          </cell>
        </row>
        <row r="18">
          <cell r="A18" t="str">
            <v>FRAUDES</v>
          </cell>
          <cell r="B18">
            <v>314</v>
          </cell>
          <cell r="C18">
            <v>45</v>
          </cell>
          <cell r="D18">
            <v>1</v>
          </cell>
          <cell r="E18">
            <v>21</v>
          </cell>
          <cell r="F18">
            <v>15</v>
          </cell>
          <cell r="G18">
            <v>17.100000000000001</v>
          </cell>
          <cell r="H18">
            <v>0.12534818941504178</v>
          </cell>
        </row>
        <row r="19">
          <cell r="A19" t="str">
            <v>GARANTIAS INSTALACIONES</v>
          </cell>
          <cell r="B19">
            <v>11</v>
          </cell>
          <cell r="C19">
            <v>4</v>
          </cell>
          <cell r="F19" t="str">
            <v/>
          </cell>
          <cell r="G19" t="str">
            <v/>
          </cell>
          <cell r="H19">
            <v>0.26666666666666666</v>
          </cell>
        </row>
        <row r="20">
          <cell r="A20" t="str">
            <v>INSTALACIONES ACUEDUCTO</v>
          </cell>
          <cell r="B20">
            <v>6</v>
          </cell>
          <cell r="C20">
            <v>73</v>
          </cell>
          <cell r="F20" t="str">
            <v/>
          </cell>
          <cell r="G20" t="str">
            <v/>
          </cell>
          <cell r="H20">
            <v>0.92405063291139244</v>
          </cell>
        </row>
        <row r="21">
          <cell r="A21" t="str">
            <v>MEDIDORES 1/2 Y 1"</v>
          </cell>
          <cell r="B21">
            <v>2</v>
          </cell>
          <cell r="C21">
            <v>3</v>
          </cell>
          <cell r="F21" t="str">
            <v/>
          </cell>
          <cell r="G21" t="str">
            <v/>
          </cell>
          <cell r="H21">
            <v>0.6</v>
          </cell>
        </row>
        <row r="22">
          <cell r="A22" t="str">
            <v>MMTO VALVULAS E HIDRANTES</v>
          </cell>
          <cell r="B22">
            <v>49</v>
          </cell>
          <cell r="C22">
            <v>4</v>
          </cell>
          <cell r="D22">
            <v>1</v>
          </cell>
          <cell r="E22">
            <v>61</v>
          </cell>
          <cell r="F22">
            <v>0.8</v>
          </cell>
          <cell r="G22">
            <v>0.9</v>
          </cell>
          <cell r="H22">
            <v>7.5471698113207544E-2</v>
          </cell>
        </row>
        <row r="23">
          <cell r="A23" t="str">
            <v>OBRAS ACCESORIAS DAÑOS ACUEDUCTO</v>
          </cell>
          <cell r="B23">
            <v>42</v>
          </cell>
          <cell r="C23">
            <v>1</v>
          </cell>
          <cell r="F23" t="str">
            <v/>
          </cell>
          <cell r="G23" t="str">
            <v/>
          </cell>
          <cell r="H23">
            <v>2.3255813953488372E-2</v>
          </cell>
        </row>
        <row r="24">
          <cell r="A24" t="str">
            <v>OBRAS ACCESORIAS INSTALACIONES</v>
          </cell>
          <cell r="B24">
            <v>927</v>
          </cell>
          <cell r="C24">
            <v>0</v>
          </cell>
          <cell r="F24" t="str">
            <v/>
          </cell>
          <cell r="G24" t="str">
            <v/>
          </cell>
          <cell r="H24">
            <v>0</v>
          </cell>
        </row>
        <row r="25">
          <cell r="A25" t="str">
            <v>PITOMETRÍA</v>
          </cell>
          <cell r="B25">
            <v>47</v>
          </cell>
          <cell r="C25">
            <v>39</v>
          </cell>
          <cell r="D25">
            <v>1</v>
          </cell>
          <cell r="E25">
            <v>21</v>
          </cell>
          <cell r="F25">
            <v>2.2000000000000002</v>
          </cell>
          <cell r="G25">
            <v>4.0999999999999996</v>
          </cell>
          <cell r="H25">
            <v>0.45348837209302323</v>
          </cell>
        </row>
        <row r="26">
          <cell r="A26" t="str">
            <v>PROYECTOS ACUEDUCTO</v>
          </cell>
          <cell r="B26">
            <v>74</v>
          </cell>
          <cell r="C26">
            <v>15</v>
          </cell>
          <cell r="F26" t="str">
            <v/>
          </cell>
          <cell r="G26" t="str">
            <v/>
          </cell>
          <cell r="H26">
            <v>0.16853932584269662</v>
          </cell>
        </row>
        <row r="27">
          <cell r="A27" t="str">
            <v>REFERENCIACIÓN ACUEDUCTO</v>
          </cell>
          <cell r="B27">
            <v>0</v>
          </cell>
          <cell r="C27">
            <v>3</v>
          </cell>
          <cell r="F27" t="str">
            <v/>
          </cell>
          <cell r="G27" t="str">
            <v/>
          </cell>
          <cell r="H27">
            <v>1</v>
          </cell>
        </row>
        <row r="28">
          <cell r="F28" t="str">
            <v/>
          </cell>
          <cell r="G28" t="str">
            <v/>
          </cell>
          <cell r="H28" t="str">
            <v/>
          </cell>
        </row>
        <row r="29">
          <cell r="A29" t="str">
            <v>Total general</v>
          </cell>
          <cell r="B29">
            <v>2679</v>
          </cell>
          <cell r="C29">
            <v>1006</v>
          </cell>
          <cell r="F29" t="str">
            <v/>
          </cell>
          <cell r="G29" t="str">
            <v/>
          </cell>
          <cell r="H29">
            <v>0.2729986431478969</v>
          </cell>
        </row>
        <row r="30">
          <cell r="F30" t="str">
            <v/>
          </cell>
          <cell r="G30" t="str">
            <v/>
          </cell>
          <cell r="H30" t="str">
            <v/>
          </cell>
        </row>
      </sheetData>
      <sheetData sheetId="5" refreshError="1">
        <row r="12">
          <cell r="A12" t="str">
            <v>CAMBIO ACOMETIDAS CONTRATO</v>
          </cell>
          <cell r="B12">
            <v>8</v>
          </cell>
          <cell r="C12">
            <v>8</v>
          </cell>
          <cell r="F12" t="str">
            <v/>
          </cell>
          <cell r="G12" t="str">
            <v/>
          </cell>
          <cell r="H12">
            <v>0.5</v>
          </cell>
        </row>
        <row r="13">
          <cell r="A13" t="str">
            <v>CARROTANQUE</v>
          </cell>
          <cell r="B13">
            <v>123</v>
          </cell>
          <cell r="C13">
            <v>1</v>
          </cell>
          <cell r="D13">
            <v>1</v>
          </cell>
          <cell r="E13">
            <v>63</v>
          </cell>
          <cell r="F13">
            <v>2</v>
          </cell>
          <cell r="G13">
            <v>2</v>
          </cell>
          <cell r="H13">
            <v>8.0645161290322578E-3</v>
          </cell>
        </row>
        <row r="14">
          <cell r="A14" t="str">
            <v>CASAS SIN AGUA</v>
          </cell>
          <cell r="B14">
            <v>465</v>
          </cell>
          <cell r="C14">
            <v>735</v>
          </cell>
          <cell r="D14">
            <v>1</v>
          </cell>
          <cell r="E14">
            <v>63</v>
          </cell>
          <cell r="F14">
            <v>7.4</v>
          </cell>
          <cell r="G14">
            <v>19</v>
          </cell>
          <cell r="H14">
            <v>0.61250000000000004</v>
          </cell>
        </row>
        <row r="15">
          <cell r="A15" t="str">
            <v>CORTE Y RECONEXION</v>
          </cell>
          <cell r="B15">
            <v>15</v>
          </cell>
          <cell r="C15">
            <v>32</v>
          </cell>
          <cell r="F15" t="str">
            <v/>
          </cell>
          <cell r="G15" t="str">
            <v/>
          </cell>
          <cell r="H15">
            <v>0.68085106382978722</v>
          </cell>
        </row>
        <row r="16">
          <cell r="A16" t="str">
            <v>DAÑOS ACUEDUCTO</v>
          </cell>
          <cell r="B16">
            <v>640</v>
          </cell>
          <cell r="C16">
            <v>287</v>
          </cell>
          <cell r="D16">
            <v>7</v>
          </cell>
          <cell r="E16">
            <v>55.285714285714285</v>
          </cell>
          <cell r="F16">
            <v>1.7</v>
          </cell>
          <cell r="G16">
            <v>2.4</v>
          </cell>
          <cell r="H16">
            <v>0.30960086299892126</v>
          </cell>
        </row>
        <row r="17">
          <cell r="A17" t="str">
            <v>ESCOMBROS DAÑOS ACUEDUCTO</v>
          </cell>
          <cell r="B17">
            <v>205</v>
          </cell>
          <cell r="C17">
            <v>9</v>
          </cell>
          <cell r="D17">
            <v>1</v>
          </cell>
          <cell r="E17">
            <v>63</v>
          </cell>
          <cell r="F17">
            <v>3.3</v>
          </cell>
          <cell r="G17">
            <v>3.4</v>
          </cell>
          <cell r="H17">
            <v>4.2056074766355138E-2</v>
          </cell>
        </row>
        <row r="18">
          <cell r="A18" t="str">
            <v>FRAUDES</v>
          </cell>
          <cell r="B18">
            <v>356</v>
          </cell>
          <cell r="C18">
            <v>255</v>
          </cell>
          <cell r="D18">
            <v>1</v>
          </cell>
          <cell r="E18">
            <v>25</v>
          </cell>
          <cell r="F18">
            <v>14.2</v>
          </cell>
          <cell r="G18">
            <v>24.4</v>
          </cell>
          <cell r="H18">
            <v>0.41734860883797054</v>
          </cell>
        </row>
        <row r="19">
          <cell r="A19" t="str">
            <v>GARANTIAS INSTALACIONES</v>
          </cell>
          <cell r="B19">
            <v>32</v>
          </cell>
          <cell r="C19">
            <v>7</v>
          </cell>
          <cell r="F19" t="str">
            <v/>
          </cell>
          <cell r="G19" t="str">
            <v/>
          </cell>
          <cell r="H19">
            <v>0.17948717948717949</v>
          </cell>
        </row>
        <row r="20">
          <cell r="A20" t="str">
            <v>INSTALACIONES ACUEDUCTO</v>
          </cell>
          <cell r="B20">
            <v>4</v>
          </cell>
          <cell r="C20">
            <v>91</v>
          </cell>
          <cell r="F20" t="str">
            <v/>
          </cell>
          <cell r="G20" t="str">
            <v/>
          </cell>
          <cell r="H20">
            <v>0.95789473684210524</v>
          </cell>
        </row>
        <row r="21">
          <cell r="A21" t="str">
            <v>MEDIDORES 1/2 Y 1"</v>
          </cell>
          <cell r="B21">
            <v>2</v>
          </cell>
          <cell r="C21">
            <v>3</v>
          </cell>
          <cell r="F21" t="str">
            <v/>
          </cell>
          <cell r="G21" t="str">
            <v/>
          </cell>
          <cell r="H21">
            <v>0.6</v>
          </cell>
        </row>
        <row r="22">
          <cell r="A22" t="str">
            <v>MMTO VALVULAS E HIDRANTES</v>
          </cell>
          <cell r="B22">
            <v>36</v>
          </cell>
          <cell r="C22">
            <v>12</v>
          </cell>
          <cell r="D22">
            <v>2</v>
          </cell>
          <cell r="E22">
            <v>44</v>
          </cell>
          <cell r="F22">
            <v>0.4</v>
          </cell>
          <cell r="G22">
            <v>0.5</v>
          </cell>
          <cell r="H22">
            <v>0.25</v>
          </cell>
        </row>
        <row r="23">
          <cell r="A23" t="str">
            <v>OBRAS ACCESORIAS DAÑOS ACUEDUCTO</v>
          </cell>
          <cell r="B23">
            <v>9</v>
          </cell>
          <cell r="C23">
            <v>22</v>
          </cell>
          <cell r="F23" t="str">
            <v/>
          </cell>
          <cell r="G23" t="str">
            <v/>
          </cell>
          <cell r="H23">
            <v>0.70967741935483875</v>
          </cell>
        </row>
        <row r="24">
          <cell r="A24" t="str">
            <v>OBRAS ACCESORIAS INSTALACIONES</v>
          </cell>
          <cell r="B24">
            <v>1132</v>
          </cell>
          <cell r="C24">
            <v>0</v>
          </cell>
          <cell r="F24" t="str">
            <v/>
          </cell>
          <cell r="G24" t="str">
            <v/>
          </cell>
          <cell r="H24">
            <v>0</v>
          </cell>
        </row>
        <row r="25">
          <cell r="A25" t="str">
            <v>PITOMETRÍA</v>
          </cell>
          <cell r="B25">
            <v>44</v>
          </cell>
          <cell r="C25">
            <v>71</v>
          </cell>
          <cell r="D25">
            <v>3</v>
          </cell>
          <cell r="E25">
            <v>31.333333333333332</v>
          </cell>
          <cell r="F25">
            <v>0.5</v>
          </cell>
          <cell r="G25">
            <v>1.2</v>
          </cell>
          <cell r="H25">
            <v>0.61739130434782608</v>
          </cell>
        </row>
        <row r="26">
          <cell r="A26" t="str">
            <v>PROYECTOS ACUEDUCTO</v>
          </cell>
          <cell r="B26">
            <v>51</v>
          </cell>
          <cell r="C26">
            <v>7</v>
          </cell>
          <cell r="F26" t="str">
            <v/>
          </cell>
          <cell r="G26" t="str">
            <v/>
          </cell>
          <cell r="H26">
            <v>0.1206896551724138</v>
          </cell>
        </row>
        <row r="27">
          <cell r="A27" t="str">
            <v>SECTOR SIN AGUA</v>
          </cell>
          <cell r="B27">
            <v>0</v>
          </cell>
          <cell r="C27">
            <v>1</v>
          </cell>
          <cell r="F27" t="str">
            <v/>
          </cell>
          <cell r="G27" t="str">
            <v/>
          </cell>
          <cell r="H27">
            <v>1</v>
          </cell>
        </row>
        <row r="28">
          <cell r="A28" t="str">
            <v>#N/A</v>
          </cell>
          <cell r="B28">
            <v>3</v>
          </cell>
          <cell r="C28">
            <v>1</v>
          </cell>
          <cell r="F28" t="str">
            <v/>
          </cell>
          <cell r="G28" t="str">
            <v/>
          </cell>
          <cell r="H28">
            <v>0.25</v>
          </cell>
        </row>
        <row r="29">
          <cell r="F29" t="str">
            <v/>
          </cell>
          <cell r="G29" t="str">
            <v/>
          </cell>
          <cell r="H29" t="str">
            <v/>
          </cell>
        </row>
        <row r="30">
          <cell r="F30" t="str">
            <v/>
          </cell>
          <cell r="G30" t="str">
            <v/>
          </cell>
          <cell r="H30" t="str">
            <v/>
          </cell>
        </row>
        <row r="31">
          <cell r="F31" t="str">
            <v/>
          </cell>
          <cell r="G31" t="str">
            <v/>
          </cell>
          <cell r="H31" t="str">
            <v/>
          </cell>
        </row>
        <row r="32">
          <cell r="F32" t="str">
            <v/>
          </cell>
          <cell r="G32" t="str">
            <v/>
          </cell>
          <cell r="H32" t="str">
            <v/>
          </cell>
        </row>
        <row r="33">
          <cell r="A33" t="str">
            <v>Total general</v>
          </cell>
          <cell r="B33">
            <v>3125</v>
          </cell>
          <cell r="C33">
            <v>1542</v>
          </cell>
          <cell r="F33" t="str">
            <v/>
          </cell>
          <cell r="G33" t="str">
            <v/>
          </cell>
          <cell r="H33">
            <v>0.33040497107349476</v>
          </cell>
        </row>
        <row r="34">
          <cell r="F34" t="str">
            <v/>
          </cell>
          <cell r="G34" t="str">
            <v/>
          </cell>
          <cell r="H34" t="str">
            <v/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 CASA"/>
      <sheetName val="PRESUPUESTO CASA FINAL"/>
      <sheetName val="INSUMOS FINAL"/>
      <sheetName val="EQUIPOS Y TRANS."/>
      <sheetName val="SALARIOS"/>
      <sheetName val="OPCION 1"/>
      <sheetName val="FECHAS"/>
      <sheetName val="A.P.U."/>
      <sheetName val="CALCULO DEL AIU"/>
      <sheetName val="Presupuesto para Entregar"/>
      <sheetName val="Justificacion Admon"/>
      <sheetName val="Justificacion Admon Reducido"/>
      <sheetName val="Hoja1"/>
      <sheetName val="Hoja2"/>
      <sheetName val="PRESUPUESTO_CASA"/>
      <sheetName val="PRESUPUESTO_CASA_FINAL"/>
      <sheetName val="INSUMOS_FINAL"/>
      <sheetName val="EQUIPOS_Y_TRANS_"/>
      <sheetName val="OPCION_1"/>
      <sheetName val="A_P_U_"/>
      <sheetName val="CALCULO_DEL_AIU"/>
      <sheetName val="Presupuesto_para_Entregar"/>
      <sheetName val="Justificacion_Admon"/>
      <sheetName val="Justificacion_Admon_Reducido"/>
      <sheetName val="PRESUPUESTO_CASA1"/>
      <sheetName val="PRESUPUESTO_CASA_FINAL1"/>
      <sheetName val="INSUMOS_FINAL1"/>
      <sheetName val="EQUIPOS_Y_TRANS_1"/>
      <sheetName val="OPCION_11"/>
      <sheetName val="A_P_U_1"/>
      <sheetName val="CALCULO_DEL_AIU1"/>
      <sheetName val="Presupuesto_para_Entregar1"/>
      <sheetName val="Justificacion_Admon1"/>
      <sheetName val="Justificacion_Admon_Reducido1"/>
      <sheetName val="PRESUPUESTO_CASA5"/>
      <sheetName val="PRESUPUESTO_CASA_FINAL5"/>
      <sheetName val="INSUMOS_FINAL5"/>
      <sheetName val="EQUIPOS_Y_TRANS_5"/>
      <sheetName val="OPCION_15"/>
      <sheetName val="A_P_U_5"/>
      <sheetName val="CALCULO_DEL_AIU5"/>
      <sheetName val="Presupuesto_para_Entregar5"/>
      <sheetName val="Justificacion_Admon5"/>
      <sheetName val="Justificacion_Admon_Reducido5"/>
      <sheetName val="PRESUPUESTO_CASA2"/>
      <sheetName val="PRESUPUESTO_CASA_FINAL2"/>
      <sheetName val="INSUMOS_FINAL2"/>
      <sheetName val="EQUIPOS_Y_TRANS_2"/>
      <sheetName val="OPCION_12"/>
      <sheetName val="A_P_U_2"/>
      <sheetName val="CALCULO_DEL_AIU2"/>
      <sheetName val="Presupuesto_para_Entregar2"/>
      <sheetName val="Justificacion_Admon2"/>
      <sheetName val="Justificacion_Admon_Reducido2"/>
      <sheetName val="PRESUPUESTO_CASA3"/>
      <sheetName val="PRESUPUESTO_CASA_FINAL3"/>
      <sheetName val="INSUMOS_FINAL3"/>
      <sheetName val="EQUIPOS_Y_TRANS_3"/>
      <sheetName val="OPCION_13"/>
      <sheetName val="A_P_U_3"/>
      <sheetName val="CALCULO_DEL_AIU3"/>
      <sheetName val="Presupuesto_para_Entregar3"/>
      <sheetName val="Justificacion_Admon3"/>
      <sheetName val="Justificacion_Admon_Reducido3"/>
      <sheetName val="PRESUPUESTO_CASA4"/>
      <sheetName val="PRESUPUESTO_CASA_FINAL4"/>
      <sheetName val="INSUMOS_FINAL4"/>
      <sheetName val="EQUIPOS_Y_TRANS_4"/>
      <sheetName val="OPCION_14"/>
      <sheetName val="A_P_U_4"/>
      <sheetName val="CALCULO_DEL_AIU4"/>
      <sheetName val="Presupuesto_para_Entregar4"/>
      <sheetName val="Justificacion_Admon4"/>
      <sheetName val="Justificacion_Admon_Reducido4"/>
      <sheetName val="PRESUPUESTO_CASA6"/>
      <sheetName val="PRESUPUESTO_CASA_FINAL6"/>
      <sheetName val="INSUMOS_FINAL6"/>
      <sheetName val="EQUIPOS_Y_TRANS_6"/>
      <sheetName val="OPCION_16"/>
      <sheetName val="A_P_U_6"/>
      <sheetName val="CALCULO_DEL_AIU6"/>
      <sheetName val="Presupuesto_para_Entregar6"/>
      <sheetName val="Justificacion_Admon6"/>
      <sheetName val="Justificacion_Admon_Reducido6"/>
    </sheetNames>
    <sheetDataSet>
      <sheetData sheetId="0">
        <row r="1">
          <cell r="A1" t="str">
            <v>OBRAS Y DISEÑOS S.A.</v>
          </cell>
        </row>
      </sheetData>
      <sheetData sheetId="1">
        <row r="130">
          <cell r="F130">
            <v>2994677609.7862282</v>
          </cell>
        </row>
      </sheetData>
      <sheetData sheetId="2">
        <row r="8">
          <cell r="B8" t="str">
            <v>ACERO CORRU./FIG. PR-60</v>
          </cell>
        </row>
      </sheetData>
      <sheetData sheetId="3">
        <row r="6">
          <cell r="A6" t="str">
            <v>ANDAMIO TUBULAR</v>
          </cell>
        </row>
      </sheetData>
      <sheetData sheetId="4">
        <row r="37">
          <cell r="B37" t="str">
            <v>OFICIAL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>OBRAS Y DISEÑOS S.A.</v>
          </cell>
        </row>
      </sheetData>
      <sheetData sheetId="15">
        <row r="130">
          <cell r="F130">
            <v>2994677609.7862282</v>
          </cell>
        </row>
      </sheetData>
      <sheetData sheetId="16">
        <row r="8">
          <cell r="B8" t="str">
            <v>ACERO CORRU./FIG. PR-60</v>
          </cell>
        </row>
      </sheetData>
      <sheetData sheetId="17">
        <row r="6">
          <cell r="A6" t="str">
            <v>ANDAMIO TUBULAR</v>
          </cell>
        </row>
        <row r="7">
          <cell r="A7" t="str">
            <v>APISONADOR VERTICAL</v>
          </cell>
        </row>
        <row r="8">
          <cell r="A8" t="str">
            <v>ELECTROBOMBA SUMERGIBLE</v>
          </cell>
        </row>
        <row r="9">
          <cell r="A9" t="str">
            <v>BULLDOZER</v>
          </cell>
        </row>
        <row r="10">
          <cell r="A10" t="str">
            <v>CODALES Y CIMBRAS</v>
          </cell>
        </row>
        <row r="11">
          <cell r="A11" t="str">
            <v>COMPRESOR 2 MARTILLOS</v>
          </cell>
        </row>
        <row r="12">
          <cell r="A12" t="str">
            <v>CORTADORA DE PAVIMENTO</v>
          </cell>
        </row>
        <row r="13">
          <cell r="A13" t="str">
            <v>CORTADORA DE PISOS</v>
          </cell>
        </row>
        <row r="14">
          <cell r="A14" t="str">
            <v>CORTADORA LADRILLO</v>
          </cell>
        </row>
        <row r="15">
          <cell r="A15" t="str">
            <v>NIVEL</v>
          </cell>
        </row>
        <row r="16">
          <cell r="A16" t="str">
            <v>TEODOLITO</v>
          </cell>
        </row>
        <row r="17">
          <cell r="A17" t="str">
            <v>EQUIPO DE SOLDADURA ELECTRICA</v>
          </cell>
        </row>
        <row r="18">
          <cell r="A18" t="str">
            <v>EQUIPO DE TOPOGRAFIA</v>
          </cell>
        </row>
        <row r="19">
          <cell r="A19" t="str">
            <v>FINISHER</v>
          </cell>
        </row>
        <row r="20">
          <cell r="A20" t="str">
            <v>FORMALETA EN MADERA</v>
          </cell>
        </row>
        <row r="21">
          <cell r="A21" t="str">
            <v>FORMALETA METALICA</v>
          </cell>
        </row>
        <row r="22">
          <cell r="A22" t="str">
            <v>GRUA TORRE AUTOPLEGABLE</v>
          </cell>
        </row>
        <row r="23">
          <cell r="A23" t="str">
            <v>GRUA PARA POSTE</v>
          </cell>
        </row>
        <row r="24">
          <cell r="A24" t="str">
            <v>HERRAMIENTA MENOR</v>
          </cell>
        </row>
        <row r="25">
          <cell r="A25" t="str">
            <v>MEZCLADORA</v>
          </cell>
        </row>
        <row r="26">
          <cell r="A26" t="str">
            <v>MINICARGADOR</v>
          </cell>
        </row>
        <row r="27">
          <cell r="A27" t="str">
            <v>MOTOBOMBA</v>
          </cell>
        </row>
        <row r="28">
          <cell r="A28" t="str">
            <v>MOTONIVELADORA</v>
          </cell>
        </row>
        <row r="29">
          <cell r="A29" t="str">
            <v>MOTONIVELADORA.</v>
          </cell>
        </row>
        <row r="30">
          <cell r="A30" t="str">
            <v>PLANCHA VIBROCOMPACTADORA</v>
          </cell>
        </row>
        <row r="31">
          <cell r="A31" t="str">
            <v>PLANCHA VIBROCOMPACTADORA</v>
          </cell>
        </row>
        <row r="32">
          <cell r="A32" t="str">
            <v>PLANCHA VIBROCOMPACTADORA</v>
          </cell>
        </row>
        <row r="33">
          <cell r="A33" t="str">
            <v>PLUMA ELECTRICA</v>
          </cell>
        </row>
        <row r="34">
          <cell r="A34" t="str">
            <v>PULIDORA</v>
          </cell>
        </row>
        <row r="35">
          <cell r="A35" t="str">
            <v>PULIDORA TIPO HELICOPTERO</v>
          </cell>
        </row>
        <row r="36">
          <cell r="A36" t="str">
            <v>REGLA VIBRATORIA</v>
          </cell>
        </row>
        <row r="37">
          <cell r="A37" t="str">
            <v>RETROCARGADORA</v>
          </cell>
        </row>
        <row r="38">
          <cell r="A38" t="str">
            <v>RETROCARGADORA</v>
          </cell>
        </row>
        <row r="39">
          <cell r="A39" t="str">
            <v>RETROEXCAVADORA I</v>
          </cell>
        </row>
        <row r="40">
          <cell r="A40" t="str">
            <v>RETROEXCAVADORA II</v>
          </cell>
        </row>
        <row r="41">
          <cell r="A41" t="str">
            <v>TANQUE PARA RIEGO</v>
          </cell>
        </row>
        <row r="42">
          <cell r="A42" t="str">
            <v>TESTEROS DE MADERA A LA VISTA</v>
          </cell>
        </row>
        <row r="43">
          <cell r="A43" t="str">
            <v>PLUMA GRUA</v>
          </cell>
        </row>
        <row r="44">
          <cell r="A44" t="str">
            <v>VIBRADOR GASOLINA</v>
          </cell>
        </row>
        <row r="45">
          <cell r="A45" t="str">
            <v>VIBRADOR ELECTRICO</v>
          </cell>
        </row>
        <row r="46">
          <cell r="A46" t="str">
            <v>VIBROCOMPACTADOR</v>
          </cell>
        </row>
        <row r="47">
          <cell r="A47" t="str">
            <v>VIBROCOMPACTADOR 15 TON</v>
          </cell>
        </row>
        <row r="48">
          <cell r="A48" t="str">
            <v>VIBROCOMPACTADOR 15 TON</v>
          </cell>
        </row>
        <row r="49">
          <cell r="A49" t="str">
            <v>VIBROCOMPACTADOR 5 TON</v>
          </cell>
        </row>
        <row r="50">
          <cell r="A50" t="str">
            <v>VIBROCOMPACTADOR 4,5 TON</v>
          </cell>
        </row>
        <row r="51">
          <cell r="A51" t="str">
            <v>VIBROCOMPACTADOR 2,25 TON</v>
          </cell>
        </row>
        <row r="52">
          <cell r="A52" t="str">
            <v>VOLQUETA</v>
          </cell>
        </row>
        <row r="53">
          <cell r="A53" t="str">
            <v xml:space="preserve">COMPACTADOR </v>
          </cell>
        </row>
        <row r="63">
          <cell r="A63" t="str">
            <v>TRANSPORTE</v>
          </cell>
        </row>
        <row r="64">
          <cell r="A64" t="str">
            <v>VOLQUETA INTERNOS</v>
          </cell>
        </row>
        <row r="65">
          <cell r="A65" t="str">
            <v>TRANSPORTE A LA OBRA</v>
          </cell>
        </row>
        <row r="66">
          <cell r="A66" t="str">
            <v>VOLQUETA</v>
          </cell>
        </row>
        <row r="67">
          <cell r="A67" t="str">
            <v>VOLQUETA AL BOTADERO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">
          <cell r="A1" t="str">
            <v>OBRAS Y DISEÑOS S.A.</v>
          </cell>
        </row>
      </sheetData>
      <sheetData sheetId="35">
        <row r="130">
          <cell r="F130">
            <v>2994677609.7862282</v>
          </cell>
        </row>
      </sheetData>
      <sheetData sheetId="36">
        <row r="8">
          <cell r="B8" t="str">
            <v>ACERO CORRU./FIG. PR-60</v>
          </cell>
        </row>
      </sheetData>
      <sheetData sheetId="37">
        <row r="6">
          <cell r="A6" t="str">
            <v>ANDAMIO TUBULAR</v>
          </cell>
        </row>
      </sheetData>
      <sheetData sheetId="38"/>
      <sheetData sheetId="39"/>
      <sheetData sheetId="40"/>
      <sheetData sheetId="41"/>
      <sheetData sheetId="42"/>
      <sheetData sheetId="43"/>
      <sheetData sheetId="44">
        <row r="1">
          <cell r="A1" t="str">
            <v>OBRAS Y DISEÑOS S.A.</v>
          </cell>
        </row>
      </sheetData>
      <sheetData sheetId="45">
        <row r="130">
          <cell r="F130">
            <v>2994677609.7862282</v>
          </cell>
        </row>
      </sheetData>
      <sheetData sheetId="46">
        <row r="8">
          <cell r="B8" t="str">
            <v>ACERO CORRU./FIG. PR-60</v>
          </cell>
        </row>
      </sheetData>
      <sheetData sheetId="47">
        <row r="6">
          <cell r="A6" t="str">
            <v>ANDAMIO TUBULAR</v>
          </cell>
        </row>
      </sheetData>
      <sheetData sheetId="48"/>
      <sheetData sheetId="49"/>
      <sheetData sheetId="50"/>
      <sheetData sheetId="51"/>
      <sheetData sheetId="52"/>
      <sheetData sheetId="53"/>
      <sheetData sheetId="54">
        <row r="1">
          <cell r="A1" t="str">
            <v>OBRAS Y DISEÑOS S.A.</v>
          </cell>
        </row>
      </sheetData>
      <sheetData sheetId="55">
        <row r="130">
          <cell r="F130">
            <v>2994677609.7862282</v>
          </cell>
        </row>
      </sheetData>
      <sheetData sheetId="56">
        <row r="8">
          <cell r="B8" t="str">
            <v>ACERO CORRU./FIG. PR-60</v>
          </cell>
        </row>
      </sheetData>
      <sheetData sheetId="57">
        <row r="6">
          <cell r="A6" t="str">
            <v>ANDAMIO TUBULAR</v>
          </cell>
        </row>
      </sheetData>
      <sheetData sheetId="58"/>
      <sheetData sheetId="59"/>
      <sheetData sheetId="60"/>
      <sheetData sheetId="61"/>
      <sheetData sheetId="62"/>
      <sheetData sheetId="63"/>
      <sheetData sheetId="64">
        <row r="1">
          <cell r="A1" t="str">
            <v>OBRAS Y DISEÑOS S.A.</v>
          </cell>
        </row>
      </sheetData>
      <sheetData sheetId="65">
        <row r="130">
          <cell r="F130">
            <v>2994677609.7862282</v>
          </cell>
        </row>
      </sheetData>
      <sheetData sheetId="66">
        <row r="8">
          <cell r="B8" t="str">
            <v>ACERO CORRU./FIG. PR-60</v>
          </cell>
        </row>
      </sheetData>
      <sheetData sheetId="67">
        <row r="6">
          <cell r="A6" t="str">
            <v>ANDAMIO TUBULAR</v>
          </cell>
        </row>
      </sheetData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OBRAS Y DISEÑOS S.A.</v>
          </cell>
        </row>
      </sheetData>
      <sheetData sheetId="75">
        <row r="130">
          <cell r="F130">
            <v>2994677609.7862282</v>
          </cell>
        </row>
      </sheetData>
      <sheetData sheetId="76">
        <row r="8">
          <cell r="B8" t="str">
            <v>ACERO CORRU./FIG. PR-60</v>
          </cell>
        </row>
      </sheetData>
      <sheetData sheetId="77">
        <row r="6">
          <cell r="A6" t="str">
            <v>ANDAMIO TUBULAR</v>
          </cell>
        </row>
      </sheetData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OBRAS "/>
      <sheetName val="ResumenGeneral"/>
      <sheetName val="BOCATOMA"/>
      <sheetName val="APU BOCATOMA"/>
      <sheetName val="ADUCCIÓN"/>
      <sheetName val="APU ADUCCIÓN"/>
      <sheetName val="DESARENADOR"/>
      <sheetName val="APU DESARENADOR"/>
      <sheetName val="PLANTA DE TRATAMIENTO"/>
      <sheetName val="APU PLANTA DE TRATAMIENTO"/>
      <sheetName val="TANQUE DE ALMACENAMIENTO"/>
      <sheetName val="APU TANQUE ALMAC"/>
      <sheetName val=" REDES DE DISTRI"/>
      <sheetName val="APU_Redes"/>
      <sheetName val="BASE CTOS"/>
      <sheetName val="BASE"/>
      <sheetName val="RESUMEN_OBRAS_"/>
      <sheetName val="APU_BOCATOMA"/>
      <sheetName val="APU_ADUCCIÓN"/>
      <sheetName val="APU_DESARENADOR"/>
      <sheetName val="PLANTA_DE_TRATAMIENTO"/>
      <sheetName val="APU_PLANTA_DE_TRATAMIENTO"/>
      <sheetName val="TANQUE_DE_ALMACENAMIENTO"/>
      <sheetName val="APU_TANQUE_ALMAC"/>
      <sheetName val="_REDES_DE_DISTRI"/>
      <sheetName val="BASE_CTOS"/>
      <sheetName val="RESUMEN_OBRAS_1"/>
      <sheetName val="APU_BOCATOMA1"/>
      <sheetName val="APU_ADUCCIÓN1"/>
      <sheetName val="APU_DESARENADOR1"/>
      <sheetName val="PLANTA_DE_TRATAMIENTO1"/>
      <sheetName val="APU_PLANTA_DE_TRATAMIENTO1"/>
      <sheetName val="TANQUE_DE_ALMACENAMIENTO1"/>
      <sheetName val="APU_TANQUE_ALMAC1"/>
      <sheetName val="_REDES_DE_DISTRI1"/>
      <sheetName val="BASE_CTOS1"/>
      <sheetName val="RESUMEN_OBRAS_5"/>
      <sheetName val="APU_BOCATOMA5"/>
      <sheetName val="APU_ADUCCIÓN5"/>
      <sheetName val="APU_DESARENADOR5"/>
      <sheetName val="PLANTA_DE_TRATAMIENTO5"/>
      <sheetName val="APU_PLANTA_DE_TRATAMIENTO5"/>
      <sheetName val="TANQUE_DE_ALMACENAMIENTO5"/>
      <sheetName val="APU_TANQUE_ALMAC5"/>
      <sheetName val="_REDES_DE_DISTRI5"/>
      <sheetName val="BASE_CTOS5"/>
      <sheetName val="RESUMEN_OBRAS_2"/>
      <sheetName val="APU_BOCATOMA2"/>
      <sheetName val="APU_ADUCCIÓN2"/>
      <sheetName val="APU_DESARENADOR2"/>
      <sheetName val="PLANTA_DE_TRATAMIENTO2"/>
      <sheetName val="APU_PLANTA_DE_TRATAMIENTO2"/>
      <sheetName val="TANQUE_DE_ALMACENAMIENTO2"/>
      <sheetName val="APU_TANQUE_ALMAC2"/>
      <sheetName val="_REDES_DE_DISTRI2"/>
      <sheetName val="BASE_CTOS2"/>
      <sheetName val="RESUMEN_OBRAS_3"/>
      <sheetName val="APU_BOCATOMA3"/>
      <sheetName val="APU_ADUCCIÓN3"/>
      <sheetName val="APU_DESARENADOR3"/>
      <sheetName val="PLANTA_DE_TRATAMIENTO3"/>
      <sheetName val="APU_PLANTA_DE_TRATAMIENTO3"/>
      <sheetName val="TANQUE_DE_ALMACENAMIENTO3"/>
      <sheetName val="APU_TANQUE_ALMAC3"/>
      <sheetName val="_REDES_DE_DISTRI3"/>
      <sheetName val="BASE_CTOS3"/>
      <sheetName val="RESUMEN_OBRAS_4"/>
      <sheetName val="APU_BOCATOMA4"/>
      <sheetName val="APU_ADUCCIÓN4"/>
      <sheetName val="APU_DESARENADOR4"/>
      <sheetName val="PLANTA_DE_TRATAMIENTO4"/>
      <sheetName val="APU_PLANTA_DE_TRATAMIENTO4"/>
      <sheetName val="TANQUE_DE_ALMACENAMIENTO4"/>
      <sheetName val="APU_TANQUE_ALMAC4"/>
      <sheetName val="_REDES_DE_DISTRI4"/>
      <sheetName val="BASE_CTOS4"/>
      <sheetName val="RESUMEN_OBRAS_6"/>
      <sheetName val="APU_BOCATOMA6"/>
      <sheetName val="APU_ADUCCIÓN6"/>
      <sheetName val="APU_DESARENADOR6"/>
      <sheetName val="PLANTA_DE_TRATAMIENTO6"/>
      <sheetName val="APU_PLANTA_DE_TRATAMIENTO6"/>
      <sheetName val="TANQUE_DE_ALMACENAMIENTO6"/>
      <sheetName val="APU_TANQUE_ALMAC6"/>
      <sheetName val="_REDES_DE_DISTRI6"/>
      <sheetName val="BASE_CTOS6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>
        <row r="69">
          <cell r="D69">
            <v>27534.92</v>
          </cell>
        </row>
        <row r="71">
          <cell r="D71">
            <v>57107.96</v>
          </cell>
        </row>
        <row r="302">
          <cell r="D302">
            <v>269120</v>
          </cell>
        </row>
        <row r="306">
          <cell r="D306">
            <v>646120</v>
          </cell>
        </row>
        <row r="344">
          <cell r="D344">
            <v>8700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TIVO"/>
      <sheetName val="PRESUPUESTO ULTIMO RADICADO"/>
      <sheetName val="PRESUPUESTO"/>
      <sheetName val="MEMORIAS DE CALCULO"/>
      <sheetName val="PRESUPUESTO FINAL RESUMEN"/>
      <sheetName val="PRESUPUESTO URBAN"/>
      <sheetName val="PRESUPUESTO URBAN RESUMEN"/>
      <sheetName val="DESCUENTOS"/>
      <sheetName val="A.P.U."/>
      <sheetName val="INSUMOS"/>
      <sheetName val="INSUMOS FINAL"/>
      <sheetName val="INSUMOS A PRESENTAR"/>
      <sheetName val="RESUMEN PRESUPUESTO TOTAL"/>
      <sheetName val="CALCULO DEL AIU"/>
      <sheetName val="FLUJO DE CAJA PROYECTADO"/>
      <sheetName val="CALCULO ADMON PLAN DE VIVIENDA"/>
      <sheetName val="oferta Viv Nva"/>
      <sheetName val="Anx AV1"/>
      <sheetName val="Anx AV2"/>
      <sheetName val="Anx AV3"/>
      <sheetName val="Predios"/>
      <sheetName val="EQUIPOS Y TRANS."/>
      <sheetName val="SALARIOS"/>
      <sheetName val="ADMINISTRACION"/>
      <sheetName val="SALVAMENTO"/>
      <sheetName val="EVALUACION FINANCIERA"/>
      <sheetName val="PROPUESTA GRUPO G2"/>
      <sheetName val="PROPUESTA HECTOR TORRES"/>
      <sheetName val="PRESUPUESTO_ULTIMO_RADICADO"/>
      <sheetName val="MEMORIAS_DE_CALCULO"/>
      <sheetName val="PRESUPUESTO_FINAL_RESUMEN"/>
      <sheetName val="PRESUPUESTO_URBAN"/>
      <sheetName val="PRESUPUESTO_URBAN_RESUMEN"/>
      <sheetName val="A_P_U_"/>
      <sheetName val="INSUMOS_FINAL"/>
      <sheetName val="INSUMOS_A_PRESENTAR"/>
      <sheetName val="RESUMEN_PRESUPUESTO_TOTAL"/>
      <sheetName val="CALCULO_DEL_AIU"/>
      <sheetName val="FLUJO_DE_CAJA_PROYECTADO"/>
      <sheetName val="CALCULO_ADMON_PLAN_DE_VIVIENDA"/>
      <sheetName val="oferta_Viv_Nva"/>
      <sheetName val="Anx_AV1"/>
      <sheetName val="Anx_AV2"/>
      <sheetName val="Anx_AV3"/>
      <sheetName val="EQUIPOS_Y_TRANS_"/>
      <sheetName val="EVALUACION_FINANCIERA"/>
      <sheetName val="PROPUESTA_GRUPO_G2"/>
      <sheetName val="PROPUESTA_HECTOR_TORRES"/>
      <sheetName val="PRESUPUESTO_ULTIMO_RADICADO1"/>
      <sheetName val="MEMORIAS_DE_CALCULO1"/>
      <sheetName val="PRESUPUESTO_FINAL_RESUMEN1"/>
      <sheetName val="PRESUPUESTO_URBAN1"/>
      <sheetName val="PRESUPUESTO_URBAN_RESUMEN1"/>
      <sheetName val="A_P_U_1"/>
      <sheetName val="INSUMOS_FINAL1"/>
      <sheetName val="INSUMOS_A_PRESENTAR1"/>
      <sheetName val="RESUMEN_PRESUPUESTO_TOTAL1"/>
      <sheetName val="CALCULO_DEL_AIU1"/>
      <sheetName val="FLUJO_DE_CAJA_PROYECTADO1"/>
      <sheetName val="CALCULO_ADMON_PLAN_DE_VIVIENDA1"/>
      <sheetName val="oferta_Viv_Nva1"/>
      <sheetName val="Anx_AV11"/>
      <sheetName val="Anx_AV21"/>
      <sheetName val="Anx_AV31"/>
      <sheetName val="EQUIPOS_Y_TRANS_1"/>
      <sheetName val="EVALUACION_FINANCIERA1"/>
      <sheetName val="PROPUESTA_GRUPO_G21"/>
      <sheetName val="PROPUESTA_HECTOR_TORRES1"/>
      <sheetName val="PRESUPUESTO_ULTIMO_RADICADO5"/>
      <sheetName val="MEMORIAS_DE_CALCULO5"/>
      <sheetName val="PRESUPUESTO_FINAL_RESUMEN5"/>
      <sheetName val="PRESUPUESTO_URBAN5"/>
      <sheetName val="PRESUPUESTO_URBAN_RESUMEN5"/>
      <sheetName val="A_P_U_5"/>
      <sheetName val="INSUMOS_FINAL5"/>
      <sheetName val="INSUMOS_A_PRESENTAR5"/>
      <sheetName val="RESUMEN_PRESUPUESTO_TOTAL5"/>
      <sheetName val="CALCULO_DEL_AIU5"/>
      <sheetName val="FLUJO_DE_CAJA_PROYECTADO5"/>
      <sheetName val="CALCULO_ADMON_PLAN_DE_VIVIENDA5"/>
      <sheetName val="oferta_Viv_Nva5"/>
      <sheetName val="Anx_AV15"/>
      <sheetName val="Anx_AV25"/>
      <sheetName val="Anx_AV35"/>
      <sheetName val="EQUIPOS_Y_TRANS_5"/>
      <sheetName val="EVALUACION_FINANCIERA5"/>
      <sheetName val="PROPUESTA_GRUPO_G25"/>
      <sheetName val="PROPUESTA_HECTOR_TORRES5"/>
      <sheetName val="PRESUPUESTO_ULTIMO_RADICADO2"/>
      <sheetName val="MEMORIAS_DE_CALCULO2"/>
      <sheetName val="PRESUPUESTO_FINAL_RESUMEN2"/>
      <sheetName val="PRESUPUESTO_URBAN2"/>
      <sheetName val="PRESUPUESTO_URBAN_RESUMEN2"/>
      <sheetName val="A_P_U_2"/>
      <sheetName val="INSUMOS_FINAL2"/>
      <sheetName val="INSUMOS_A_PRESENTAR2"/>
      <sheetName val="RESUMEN_PRESUPUESTO_TOTAL2"/>
      <sheetName val="CALCULO_DEL_AIU2"/>
      <sheetName val="FLUJO_DE_CAJA_PROYECTADO2"/>
      <sheetName val="CALCULO_ADMON_PLAN_DE_VIVIENDA2"/>
      <sheetName val="oferta_Viv_Nva2"/>
      <sheetName val="Anx_AV12"/>
      <sheetName val="Anx_AV22"/>
      <sheetName val="Anx_AV32"/>
      <sheetName val="EQUIPOS_Y_TRANS_2"/>
      <sheetName val="EVALUACION_FINANCIERA2"/>
      <sheetName val="PROPUESTA_GRUPO_G22"/>
      <sheetName val="PROPUESTA_HECTOR_TORRES2"/>
      <sheetName val="PRESUPUESTO_ULTIMO_RADICADO3"/>
      <sheetName val="MEMORIAS_DE_CALCULO3"/>
      <sheetName val="PRESUPUESTO_FINAL_RESUMEN3"/>
      <sheetName val="PRESUPUESTO_URBAN3"/>
      <sheetName val="PRESUPUESTO_URBAN_RESUMEN3"/>
      <sheetName val="A_P_U_3"/>
      <sheetName val="INSUMOS_FINAL3"/>
      <sheetName val="INSUMOS_A_PRESENTAR3"/>
      <sheetName val="RESUMEN_PRESUPUESTO_TOTAL3"/>
      <sheetName val="CALCULO_DEL_AIU3"/>
      <sheetName val="FLUJO_DE_CAJA_PROYECTADO3"/>
      <sheetName val="CALCULO_ADMON_PLAN_DE_VIVIENDA3"/>
      <sheetName val="oferta_Viv_Nva3"/>
      <sheetName val="Anx_AV13"/>
      <sheetName val="Anx_AV23"/>
      <sheetName val="Anx_AV33"/>
      <sheetName val="EQUIPOS_Y_TRANS_3"/>
      <sheetName val="EVALUACION_FINANCIERA3"/>
      <sheetName val="PROPUESTA_GRUPO_G23"/>
      <sheetName val="PROPUESTA_HECTOR_TORRES3"/>
      <sheetName val="PRESUPUESTO_ULTIMO_RADICADO4"/>
      <sheetName val="MEMORIAS_DE_CALCULO4"/>
      <sheetName val="PRESUPUESTO_FINAL_RESUMEN4"/>
      <sheetName val="PRESUPUESTO_URBAN4"/>
      <sheetName val="PRESUPUESTO_URBAN_RESUMEN4"/>
      <sheetName val="A_P_U_4"/>
      <sheetName val="INSUMOS_FINAL4"/>
      <sheetName val="INSUMOS_A_PRESENTAR4"/>
      <sheetName val="RESUMEN_PRESUPUESTO_TOTAL4"/>
      <sheetName val="CALCULO_DEL_AIU4"/>
      <sheetName val="FLUJO_DE_CAJA_PROYECTADO4"/>
      <sheetName val="CALCULO_ADMON_PLAN_DE_VIVIENDA4"/>
      <sheetName val="oferta_Viv_Nva4"/>
      <sheetName val="Anx_AV14"/>
      <sheetName val="Anx_AV24"/>
      <sheetName val="Anx_AV34"/>
      <sheetName val="EQUIPOS_Y_TRANS_4"/>
      <sheetName val="EVALUACION_FINANCIERA4"/>
      <sheetName val="PROPUESTA_GRUPO_G24"/>
      <sheetName val="PROPUESTA_HECTOR_TORRES4"/>
      <sheetName val="PRESUPUESTO_ULTIMO_RADICADO6"/>
      <sheetName val="MEMORIAS_DE_CALCULO6"/>
      <sheetName val="PRESUPUESTO_FINAL_RESUMEN6"/>
      <sheetName val="PRESUPUESTO_URBAN6"/>
      <sheetName val="PRESUPUESTO_URBAN_RESUMEN6"/>
      <sheetName val="A_P_U_6"/>
      <sheetName val="INSUMOS_FINAL6"/>
      <sheetName val="INSUMOS_A_PRESENTAR6"/>
      <sheetName val="RESUMEN_PRESUPUESTO_TOTAL6"/>
      <sheetName val="CALCULO_DEL_AIU6"/>
      <sheetName val="FLUJO_DE_CAJA_PROYECTADO6"/>
      <sheetName val="CALCULO_ADMON_PLAN_DE_VIVIENDA6"/>
      <sheetName val="oferta_Viv_Nva6"/>
      <sheetName val="Anx_AV16"/>
      <sheetName val="Anx_AV26"/>
      <sheetName val="Anx_AV36"/>
      <sheetName val="EQUIPOS_Y_TRANS_6"/>
      <sheetName val="EVALUACION_FINANCIERA6"/>
      <sheetName val="PROPUESTA_GRUPO_G26"/>
      <sheetName val="PROPUESTA_HECTOR_TORRES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8">
          <cell r="B8" t="str">
            <v>ACERO CORRU./FIG. PR-60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8">
          <cell r="B8" t="str">
            <v>ACERO CORRU./FIG. PR-60</v>
          </cell>
        </row>
        <row r="9">
          <cell r="B9" t="str">
            <v>ACONDICIONADOR NOVAFORT</v>
          </cell>
        </row>
        <row r="10">
          <cell r="B10" t="str">
            <v>ADHESIVO NOVAFORT</v>
          </cell>
        </row>
        <row r="11">
          <cell r="B11" t="str">
            <v>AGUA</v>
          </cell>
        </row>
        <row r="12">
          <cell r="B12" t="str">
            <v>AMARRES PARA TEJA ETERNIT</v>
          </cell>
        </row>
        <row r="13">
          <cell r="B13" t="str">
            <v>ALAMBRE NEGRO       No.18</v>
          </cell>
        </row>
        <row r="14">
          <cell r="B14" t="str">
            <v>ARENA DE PEÑA INCLUYE TRANSPORTE</v>
          </cell>
        </row>
        <row r="15">
          <cell r="B15" t="str">
            <v>BLOQUE No 4</v>
          </cell>
        </row>
        <row r="16">
          <cell r="B16" t="str">
            <v>BLOQUE No.5</v>
          </cell>
        </row>
        <row r="17">
          <cell r="B17" t="str">
            <v>CABALLETE</v>
          </cell>
        </row>
        <row r="18">
          <cell r="B18" t="str">
            <v>CEMENTO BLANCO</v>
          </cell>
        </row>
        <row r="19">
          <cell r="B19" t="str">
            <v>CEMENTO GRIS</v>
          </cell>
        </row>
        <row r="20">
          <cell r="B20" t="str">
            <v xml:space="preserve">CEMENTO GRIS  </v>
          </cell>
        </row>
        <row r="21">
          <cell r="B21" t="str">
            <v>CODO 90º  GALVANIZADO 1/2"</v>
          </cell>
        </row>
        <row r="22">
          <cell r="B22" t="str">
            <v>CODO 90º  PVC PRESION 1/2"</v>
          </cell>
        </row>
        <row r="23">
          <cell r="B23" t="str">
            <v>CODO 90º  PVC PRESION 3/4"</v>
          </cell>
        </row>
        <row r="24">
          <cell r="B24" t="str">
            <v>CODO 90º  SANITARIO PVC 2"</v>
          </cell>
        </row>
        <row r="25">
          <cell r="B25" t="str">
            <v>CODO 90º  SANITARIO PVC 3"</v>
          </cell>
        </row>
        <row r="26">
          <cell r="B26" t="str">
            <v>CODO 90º  SANITARIO PVC 4"</v>
          </cell>
        </row>
        <row r="27">
          <cell r="B27" t="str">
            <v>COLLARIN 3X 1/2"</v>
          </cell>
        </row>
        <row r="28">
          <cell r="B28" t="str">
            <v>CONCRETO 3000 PSI (210) TREMIE</v>
          </cell>
        </row>
        <row r="29">
          <cell r="B29" t="str">
            <v>CONCRETO GRAVA COMUN 2000 PSI (140)</v>
          </cell>
        </row>
        <row r="30">
          <cell r="B30" t="str">
            <v>CONCRETO GRAVA COMUN 2500 PSI (175)</v>
          </cell>
        </row>
        <row r="31">
          <cell r="B31" t="str">
            <v>CONCRETO GRAVA COMUN 3000 PSI (210)</v>
          </cell>
        </row>
        <row r="32">
          <cell r="B32" t="str">
            <v>CONCRETO GRAVILLA FINA IMPERMEABILIZADO 4000 PSI</v>
          </cell>
        </row>
        <row r="33">
          <cell r="B33" t="str">
            <v>ENCHAPE CERAMICO 20,5X20,5  PARED</v>
          </cell>
        </row>
        <row r="34">
          <cell r="B34" t="str">
            <v>ENCHAPE CERAMICO 20,5X20,5  PISO</v>
          </cell>
        </row>
        <row r="35">
          <cell r="B35" t="str">
            <v>ESTACAS, HILOS Y OTROS</v>
          </cell>
        </row>
        <row r="36">
          <cell r="B36" t="str">
            <v>FORMALETA MADERA COMUN</v>
          </cell>
        </row>
        <row r="37">
          <cell r="B37" t="str">
            <v>GANCHOS PARA TEJA ETERNIT</v>
          </cell>
        </row>
        <row r="38">
          <cell r="B38" t="str">
            <v>GEOTEXTIL NT 3000</v>
          </cell>
        </row>
        <row r="39">
          <cell r="B39" t="str">
            <v>LADRILLO TOLETE COMÚN</v>
          </cell>
        </row>
        <row r="40">
          <cell r="B40" t="str">
            <v>LADRILLO TOLETE RECOCIDO</v>
          </cell>
        </row>
        <row r="41">
          <cell r="B41" t="str">
            <v>LAVAPLATOS INCLUYE GRIFERIA</v>
          </cell>
        </row>
        <row r="42">
          <cell r="B42" t="str">
            <v>LIMPIADOR Y SOLDADURA</v>
          </cell>
        </row>
        <row r="43">
          <cell r="B43" t="str">
            <v>MANGUERA PF +UAD 1/2"</v>
          </cell>
        </row>
        <row r="44">
          <cell r="B44" t="str">
            <v>MEDIDOR 1/2" Y CAJILLA</v>
          </cell>
        </row>
        <row r="45">
          <cell r="B45" t="str">
            <v>MORTERO 1000 PSI (1:4)</v>
          </cell>
        </row>
        <row r="46">
          <cell r="B46" t="str">
            <v>MORTERO 1500 PSI (1:5)</v>
          </cell>
        </row>
        <row r="47">
          <cell r="B47" t="str">
            <v>MORTERO 2000 PSI (1:3)</v>
          </cell>
        </row>
        <row r="48">
          <cell r="B48" t="str">
            <v>MORTERO 3000 PSI</v>
          </cell>
        </row>
        <row r="49">
          <cell r="B49" t="str">
            <v>MORTERO IMPERMEABILIZADO 1:2</v>
          </cell>
        </row>
        <row r="50">
          <cell r="B50" t="str">
            <v>MORTERO IMPERMEABILIZADO PARA PAÑETE 1:3</v>
          </cell>
        </row>
        <row r="51">
          <cell r="B51" t="str">
            <v>MORTERO IMPERMEABILIZADO PARA PAÑETE 1:5</v>
          </cell>
        </row>
        <row r="52">
          <cell r="B52" t="str">
            <v>MORTERO PARA PEGA 1:3</v>
          </cell>
        </row>
        <row r="53">
          <cell r="B53" t="str">
            <v xml:space="preserve">MORTERO PARA PEGA 1:4  </v>
          </cell>
        </row>
        <row r="54">
          <cell r="B54" t="str">
            <v>MORTERO PARA PEGA 1:4 IMPERMEABILIZADO</v>
          </cell>
        </row>
        <row r="55">
          <cell r="B55" t="str">
            <v xml:space="preserve">MORTERO PARA PEGA 1:5  </v>
          </cell>
        </row>
        <row r="56">
          <cell r="B56" t="str">
            <v>PEGACOR GRIS</v>
          </cell>
        </row>
        <row r="57">
          <cell r="B57" t="str">
            <v>PEGAMAX GRIS</v>
          </cell>
        </row>
        <row r="58">
          <cell r="B58" t="str">
            <v>PEGANTE PEGATEX</v>
          </cell>
        </row>
        <row r="59">
          <cell r="B59" t="str">
            <v>PUERTA MADERA 0,70 X 2,05 INCLUYE MARCO</v>
          </cell>
        </row>
        <row r="60">
          <cell r="B60" t="str">
            <v>PUERTA METALICA 1 X 2,05 INCLUYE MARCO</v>
          </cell>
        </row>
        <row r="61">
          <cell r="B61" t="str">
            <v xml:space="preserve">PUERTA METALICA DE 0,75x 2,05  </v>
          </cell>
        </row>
        <row r="62">
          <cell r="B62" t="str">
            <v>PUNTILLA C/CABEZA      2"</v>
          </cell>
        </row>
        <row r="63">
          <cell r="B63" t="str">
            <v xml:space="preserve">PUNTILLA DE 1 1/2" SIN CABEZA  </v>
          </cell>
        </row>
        <row r="64">
          <cell r="B64" t="str">
            <v>RECEBO  B-200 NO INCLUYE TRANSPORTE</v>
          </cell>
        </row>
        <row r="65">
          <cell r="B65" t="str">
            <v>RECEBO  B-400 NO INCLUYE TRANSPORTE</v>
          </cell>
        </row>
        <row r="66">
          <cell r="B66" t="str">
            <v>RECEBO  B-600 NO INCLUYE TRANSPORTE</v>
          </cell>
        </row>
        <row r="67">
          <cell r="B67" t="str">
            <v>REGISTRO INCORPORACION O CORTE 1/2"</v>
          </cell>
        </row>
        <row r="68">
          <cell r="B68" t="str">
            <v>REGISTRO BOLA 1/2"</v>
          </cell>
        </row>
        <row r="69">
          <cell r="B69" t="str">
            <v>SILLA YEE  400 X 110 mm NOVAFORT</v>
          </cell>
        </row>
        <row r="70">
          <cell r="B70" t="str">
            <v>TEJA ONDULADA No. 6 ETERNIT</v>
          </cell>
        </row>
        <row r="71">
          <cell r="B71" t="str">
            <v>TRITURADO DE 1"</v>
          </cell>
        </row>
        <row r="72">
          <cell r="B72" t="str">
            <v>TUBERIA PVC-P 1"</v>
          </cell>
        </row>
        <row r="73">
          <cell r="B73" t="str">
            <v>TUBERIA PVC-P 1/2"</v>
          </cell>
        </row>
        <row r="74">
          <cell r="B74" t="str">
            <v>TUBO ACUED. PRES. PVC  1 1/2"  RDE 21</v>
          </cell>
        </row>
        <row r="75">
          <cell r="B75" t="str">
            <v>TUBO ACUED. PRES. PVC 3/4"  RDE 11</v>
          </cell>
        </row>
        <row r="76">
          <cell r="B76" t="str">
            <v>TUBO ALCANTARILLADO PVC NOVAFORT  160 mm</v>
          </cell>
        </row>
        <row r="77">
          <cell r="B77" t="str">
            <v>TUBO CONDUIT PVC 1/2"</v>
          </cell>
        </row>
        <row r="78">
          <cell r="B78" t="str">
            <v>TUBO CONDUIT PVC 1"</v>
          </cell>
        </row>
        <row r="79">
          <cell r="B79" t="str">
            <v>TUBO SANITARIO PVC 2"</v>
          </cell>
        </row>
        <row r="80">
          <cell r="B80" t="str">
            <v>TUBO SANITARIO PVC 3"</v>
          </cell>
        </row>
        <row r="81">
          <cell r="B81" t="str">
            <v>TUBO SANITARIO PVC 4"</v>
          </cell>
        </row>
        <row r="82">
          <cell r="B82" t="str">
            <v>VARILLA COBRE  5/8" X 2,40 M</v>
          </cell>
        </row>
        <row r="83">
          <cell r="B83" t="str">
            <v>ANTICORROSIVO ROJO</v>
          </cell>
        </row>
        <row r="84">
          <cell r="B84" t="str">
            <v>BISAGRA EN ALUMINIO</v>
          </cell>
        </row>
        <row r="85">
          <cell r="B85" t="str">
            <v>SOLDADURA ELECTRICA</v>
          </cell>
        </row>
        <row r="86">
          <cell r="B86" t="str">
            <v>ANGULO HIERRO</v>
          </cell>
        </row>
        <row r="87">
          <cell r="B87" t="str">
            <v>TUBERIA PVC PRESION 3"</v>
          </cell>
        </row>
        <row r="88">
          <cell r="B88" t="str">
            <v>TUBERIA PVC PRESION 4"</v>
          </cell>
        </row>
        <row r="89">
          <cell r="B89" t="str">
            <v>TUBERIA PVC PRESION 6"</v>
          </cell>
        </row>
        <row r="90">
          <cell r="B90" t="str">
            <v>CODO PVC PRESION 3"</v>
          </cell>
        </row>
        <row r="91">
          <cell r="B91" t="str">
            <v>CODO PVC PRESION 4"</v>
          </cell>
        </row>
        <row r="92">
          <cell r="B92" t="str">
            <v>CODO PVC PRESION 6"</v>
          </cell>
        </row>
        <row r="93">
          <cell r="B93" t="str">
            <v>TEE φ 3"</v>
          </cell>
        </row>
        <row r="94">
          <cell r="B94" t="str">
            <v>TEE φ 4"</v>
          </cell>
        </row>
        <row r="95">
          <cell r="B95" t="str">
            <v>TEE φ 6"</v>
          </cell>
        </row>
        <row r="96">
          <cell r="B96" t="str">
            <v>TEE REDUCIDA φ 4"4"3"</v>
          </cell>
        </row>
        <row r="97">
          <cell r="B97" t="str">
            <v>BUJE 6" A 4"</v>
          </cell>
        </row>
        <row r="98">
          <cell r="B98" t="str">
            <v>BUJE 4" A 3"</v>
          </cell>
        </row>
        <row r="99">
          <cell r="B99" t="str">
            <v>CRUCE φ 3*3*3*3"</v>
          </cell>
        </row>
        <row r="100">
          <cell r="B100" t="str">
            <v>CRUCE φ 3*3*4*4"</v>
          </cell>
        </row>
        <row r="101">
          <cell r="B101" t="str">
            <v>CRUCE φ 3*6*3*6"</v>
          </cell>
        </row>
        <row r="102">
          <cell r="B102" t="str">
            <v>CRUCE φ 4*3*3*3"</v>
          </cell>
        </row>
        <row r="103">
          <cell r="B103" t="str">
            <v>CRUCE φ 4*3*4*3"</v>
          </cell>
        </row>
        <row r="104">
          <cell r="B104" t="str">
            <v>CRUCE φ 4*4*3*4"</v>
          </cell>
        </row>
        <row r="105">
          <cell r="B105" t="str">
            <v>CRUCE φ 6*3*3*4"</v>
          </cell>
        </row>
        <row r="106">
          <cell r="B106" t="str">
            <v>CRUCE φ 6*3*6*4"</v>
          </cell>
        </row>
        <row r="107">
          <cell r="B107" t="str">
            <v>CRUCE φ 12*6*6*3"</v>
          </cell>
        </row>
        <row r="108">
          <cell r="B108" t="str">
            <v>CRUCE φ 6*6*3*3"</v>
          </cell>
        </row>
        <row r="109">
          <cell r="B109" t="str">
            <v>VALVULA φ 3"</v>
          </cell>
        </row>
        <row r="110">
          <cell r="B110" t="str">
            <v>VALVULA φ 4"</v>
          </cell>
        </row>
        <row r="111">
          <cell r="B111" t="str">
            <v>VALVULA φ 6"</v>
          </cell>
        </row>
        <row r="112">
          <cell r="B112" t="str">
            <v>HIDRANTE 3" CON SALIDA EN 2 1/2"</v>
          </cell>
        </row>
        <row r="113">
          <cell r="B113" t="str">
            <v>UNION DRESSER φ 3"</v>
          </cell>
        </row>
        <row r="114">
          <cell r="B114" t="str">
            <v>UNION DRESSER φ 4"</v>
          </cell>
        </row>
        <row r="115">
          <cell r="B115" t="str">
            <v>UNION DRESSER φ 6"</v>
          </cell>
        </row>
        <row r="116">
          <cell r="B116" t="str">
            <v>UNION DRESSER φ 12"</v>
          </cell>
        </row>
        <row r="117">
          <cell r="B117" t="str">
            <v>LUBRICANTE PVC</v>
          </cell>
        </row>
        <row r="118">
          <cell r="B118" t="str">
            <v>CODO H.D. 3" EXT. LISO</v>
          </cell>
        </row>
        <row r="119">
          <cell r="B119" t="str">
            <v>TUBERIA ALCANTARILLADO PVC 8"</v>
          </cell>
        </row>
        <row r="120">
          <cell r="B120" t="str">
            <v>TUBERIA ALCANTARILLADO PVC 10"</v>
          </cell>
        </row>
        <row r="121">
          <cell r="B121" t="str">
            <v>CODO ALCANTARILLADO 10"</v>
          </cell>
        </row>
        <row r="122">
          <cell r="B122" t="str">
            <v>TEE ALCANTARILLADO 10"</v>
          </cell>
        </row>
        <row r="123">
          <cell r="B123" t="str">
            <v>ARO TAPA PARA POZO D=1,70 m</v>
          </cell>
        </row>
        <row r="124">
          <cell r="B124" t="str">
            <v>ADAPTADOR TERMINAL CONDUIT PVC ½"</v>
          </cell>
        </row>
        <row r="125">
          <cell r="B125" t="str">
            <v>ADAPTADOR TERMINAL CONDUIT PVC ¾"</v>
          </cell>
        </row>
        <row r="126">
          <cell r="B126" t="str">
            <v>ADAPTADOR TERMINAL CONDUIT PVC 1"</v>
          </cell>
        </row>
        <row r="127">
          <cell r="B127" t="str">
            <v>ARENA DE PEÑA</v>
          </cell>
        </row>
        <row r="128">
          <cell r="B128" t="str">
            <v>BOMBILLO INCANDECENTE 100W</v>
          </cell>
        </row>
        <row r="129">
          <cell r="B129" t="str">
            <v>BOQUILLA + CONTRATUERCA DE 1"</v>
          </cell>
        </row>
        <row r="130">
          <cell r="B130" t="str">
            <v>BORNA DE PONCHAR 10-12 AWG</v>
          </cell>
        </row>
        <row r="131">
          <cell r="B131" t="str">
            <v>BORNA DE PONCHAR 8 AWG UN HUECO</v>
          </cell>
        </row>
        <row r="132">
          <cell r="B132" t="str">
            <v>BREAKER MULTI9 MONOPOLAR C60N 50A</v>
          </cell>
        </row>
        <row r="133">
          <cell r="B133" t="str">
            <v>CABLE ANTIFRAUDE 1 x 8 + 1 x 8 AWG NEUTRO CONCENTRICO</v>
          </cell>
        </row>
        <row r="134">
          <cell r="B134" t="str">
            <v>CABLE DESNUDO 12 AWG COBRE</v>
          </cell>
        </row>
        <row r="135">
          <cell r="B135" t="str">
            <v>CABLE DESNUDO 4 AWG COBRE</v>
          </cell>
        </row>
        <row r="136">
          <cell r="B136" t="str">
            <v>CABLE TELEFONICO 2 x 0.6 INTERIOR</v>
          </cell>
        </row>
        <row r="137">
          <cell r="B137" t="str">
            <v>CABLE THWN 10 AWG 600V COBRE</v>
          </cell>
        </row>
        <row r="138">
          <cell r="B138" t="str">
            <v>CABLE THWN 12 AWG 600V COBRE</v>
          </cell>
        </row>
        <row r="139">
          <cell r="B139" t="str">
            <v>CABLE THWN 8 AWG 600V COBRE</v>
          </cell>
        </row>
        <row r="140">
          <cell r="B140" t="str">
            <v>CAJA PARA 1 CONTADOR AE 301 - ET 901 300 x 185 x 185</v>
          </cell>
        </row>
        <row r="141">
          <cell r="B141" t="str">
            <v>CAJA PVC Ref. 2400</v>
          </cell>
        </row>
        <row r="142">
          <cell r="B142" t="str">
            <v>CAJA PVC Ref. 5800</v>
          </cell>
        </row>
        <row r="143">
          <cell r="B143" t="str">
            <v>CAPACETE ALUMINIO 1"</v>
          </cell>
        </row>
        <row r="144">
          <cell r="B144" t="str">
            <v>CEMENTO GRIS</v>
          </cell>
        </row>
        <row r="145">
          <cell r="B145" t="str">
            <v>CINTA BAND-IT 5/8"</v>
          </cell>
        </row>
        <row r="146">
          <cell r="B146" t="str">
            <v>CURVA CONDUIT GALVANIZADA Ø= 1"</v>
          </cell>
        </row>
        <row r="147">
          <cell r="B147" t="str">
            <v>CURVA CONDUIT PVC 90° ½"</v>
          </cell>
        </row>
        <row r="148">
          <cell r="B148" t="str">
            <v>CURVA CONDUIT PVC 90° ¾"</v>
          </cell>
        </row>
        <row r="149">
          <cell r="B149" t="str">
            <v>CURVA CONDUIT PVC 90° 1"</v>
          </cell>
        </row>
        <row r="150">
          <cell r="B150" t="str">
            <v>HEBILLA PARA BAND-IT 5/8"</v>
          </cell>
        </row>
        <row r="151">
          <cell r="B151" t="str">
            <v>INTERRUPTOR SENCILLO LUMINEX</v>
          </cell>
        </row>
        <row r="152">
          <cell r="B152" t="str">
            <v>JUEGO (MARCO Y TAPA) 30 x 30 ORNAMENTAL</v>
          </cell>
        </row>
        <row r="153">
          <cell r="B153" t="str">
            <v>LADRILLO RECOCIDO</v>
          </cell>
        </row>
        <row r="154">
          <cell r="B154" t="str">
            <v>LIMPIADOR REMOVEDOR PVC (300g) 16 oz.</v>
          </cell>
        </row>
        <row r="155">
          <cell r="B155" t="str">
            <v>MEDIDOR MONOFASICO 15/60A 120V</v>
          </cell>
        </row>
        <row r="156">
          <cell r="B156" t="str">
            <v>MIXTO DE RIO</v>
          </cell>
        </row>
        <row r="157">
          <cell r="B157" t="str">
            <v>RECEBO</v>
          </cell>
        </row>
        <row r="158">
          <cell r="B158" t="str">
            <v>SOLDADURA LIQUIDA PVC 1/8 GAL.</v>
          </cell>
        </row>
        <row r="159">
          <cell r="B159" t="str">
            <v>TABLERO MONOF. TML-6 6 CTOS SQUARE-D</v>
          </cell>
        </row>
        <row r="160">
          <cell r="B160" t="str">
            <v>TACO ENCHUFABLE DSE 1 x 20 A. C.I. 10KA.</v>
          </cell>
        </row>
        <row r="161">
          <cell r="B161" t="str">
            <v>TACO ENCHUFABLE DSE 1 x 30 A. C.I. 10KA.</v>
          </cell>
        </row>
        <row r="162">
          <cell r="B162" t="str">
            <v>TACO ENCHUFABLE DSE 1 x 50 A. C.I. 10KA.</v>
          </cell>
        </row>
        <row r="163">
          <cell r="B163" t="str">
            <v>TOMACORRIENTE DOBLE CON POLO A TIERRA LUMINEX</v>
          </cell>
        </row>
        <row r="164">
          <cell r="B164" t="str">
            <v>TOMACORRIENTE DOBLE GFCI</v>
          </cell>
        </row>
        <row r="165">
          <cell r="B165" t="str">
            <v>TOMACORRIENTE PATA TRABADA 15A</v>
          </cell>
        </row>
        <row r="166">
          <cell r="B166" t="str">
            <v>TUBO CONDUIT GALVANIZADA ½" + UNION</v>
          </cell>
        </row>
        <row r="167">
          <cell r="B167" t="str">
            <v>TUBO CONDUIT GALVANIZADA 1" + UNION</v>
          </cell>
        </row>
        <row r="168">
          <cell r="B168" t="str">
            <v>TUBO CONDUIT PVC Ø=¾"</v>
          </cell>
        </row>
        <row r="169">
          <cell r="B169" t="str">
            <v>VARILLA COBRE-COBRE 5/8" x 2.40 MTS</v>
          </cell>
        </row>
        <row r="175">
          <cell r="B175">
            <v>0</v>
          </cell>
        </row>
        <row r="176">
          <cell r="B176">
            <v>0</v>
          </cell>
        </row>
        <row r="177">
          <cell r="B177">
            <v>0</v>
          </cell>
        </row>
        <row r="179">
          <cell r="B179" t="str">
            <v>MATERIAL</v>
          </cell>
        </row>
        <row r="180">
          <cell r="B180" t="str">
            <v>AISLADOR CARRETE ANSI 53-3</v>
          </cell>
        </row>
        <row r="181">
          <cell r="B181" t="str">
            <v>AISLADOR DE PIN 55-4 13.2 KV</v>
          </cell>
        </row>
        <row r="182">
          <cell r="B182" t="str">
            <v>AISLADOR PIN 55-5 15KV.</v>
          </cell>
        </row>
        <row r="183">
          <cell r="B183" t="str">
            <v>AISLADOR SUSPENSION 52-1 15 KV. 6"</v>
          </cell>
        </row>
        <row r="184">
          <cell r="B184" t="str">
            <v>AISLADOR TENSOR 54-2 15KV</v>
          </cell>
        </row>
        <row r="185">
          <cell r="B185" t="str">
            <v>AISLADOR TIPO CARRETE ANSI 53-3</v>
          </cell>
        </row>
        <row r="186">
          <cell r="B186" t="str">
            <v>ALAMBRE GALVANIZADO No.12 AWG</v>
          </cell>
        </row>
        <row r="187">
          <cell r="B187" t="str">
            <v>ARRIMADA DE MATERIAL</v>
          </cell>
        </row>
        <row r="188">
          <cell r="B188" t="str">
            <v>ASESORIA Y OBTENCION DE CERTIFICACION</v>
          </cell>
        </row>
        <row r="189">
          <cell r="B189" t="str">
            <v>AYUDANTE DE INSTALACIONES</v>
          </cell>
        </row>
        <row r="190">
          <cell r="B190" t="str">
            <v>BORNA DE PONCHAR 2/0 AWG UN HUECO</v>
          </cell>
        </row>
        <row r="191">
          <cell r="B191" t="str">
            <v>CABLE ACERO GALVA 9.5mm (3/8")</v>
          </cell>
        </row>
        <row r="192">
          <cell r="B192" t="str">
            <v>CABLE ACSR 2 AWG</v>
          </cell>
        </row>
        <row r="193">
          <cell r="B193" t="str">
            <v>CABLE ACSR 2/0 AWG.</v>
          </cell>
        </row>
        <row r="194">
          <cell r="B194" t="str">
            <v>CABLE ACSR 4/0 AWG.</v>
          </cell>
        </row>
        <row r="195">
          <cell r="B195" t="str">
            <v>CABLE DESNUDO 2/0 AWG COBRE</v>
          </cell>
        </row>
        <row r="196">
          <cell r="B196" t="str">
            <v>CABLE DESNUDO 4 AWG COBRE</v>
          </cell>
        </row>
        <row r="197">
          <cell r="B197" t="str">
            <v>CABLE THWN 2/0 AWG 600V COBRE</v>
          </cell>
        </row>
        <row r="198">
          <cell r="B198" t="str">
            <v>CABLE THWN 4/0 AWG 600V COBRE</v>
          </cell>
        </row>
        <row r="199">
          <cell r="B199" t="str">
            <v>CAJA DERIVACION B.T. RED TRENZADA</v>
          </cell>
        </row>
        <row r="200">
          <cell r="B200" t="str">
            <v>CAMA BAJA</v>
          </cell>
        </row>
        <row r="201">
          <cell r="B201" t="str">
            <v>CANASTA LINEA VIVA</v>
          </cell>
        </row>
        <row r="202">
          <cell r="B202" t="str">
            <v>CINTA BAND-IT 1/2"</v>
          </cell>
        </row>
        <row r="203">
          <cell r="B203" t="str">
            <v>COLLARIN 1 SALIDA 8-10 200 MM TIPO 3</v>
          </cell>
        </row>
        <row r="204">
          <cell r="B204" t="str">
            <v>COLLARIN SIN SALIDA 6-8 180MM TIPO 2</v>
          </cell>
        </row>
        <row r="205">
          <cell r="B205" t="str">
            <v>COLLARIN U No.1 P/CTA 150MM</v>
          </cell>
        </row>
        <row r="206">
          <cell r="B206" t="str">
            <v>COLLARIN U No.2 P/CTA 180 MM</v>
          </cell>
        </row>
        <row r="207">
          <cell r="B207" t="str">
            <v>CONECTOR COMPRESION (3/0-4/0) a (1-2/0) DBH5</v>
          </cell>
        </row>
        <row r="208">
          <cell r="B208" t="str">
            <v>CONECTOR COMPRESION (3/0-4/0) a (3/0-4/0) DBH7</v>
          </cell>
        </row>
        <row r="209">
          <cell r="B209" t="str">
            <v>CONECTOR RANURAS PARALELAS 1 PERNO No.4 CABLE 4/0</v>
          </cell>
        </row>
        <row r="210">
          <cell r="B210" t="str">
            <v>CONECTOR RANURAS PARALELAS 2 PERNOS CABLE 4/0-4</v>
          </cell>
        </row>
        <row r="211">
          <cell r="B211" t="str">
            <v>CONECTOR TIPO TORNILLO PARA PUESTA A TIERRA KSU-22</v>
          </cell>
        </row>
        <row r="212">
          <cell r="B212" t="str">
            <v>CONECTOR VARILLA COOPER WELL 5/8</v>
          </cell>
        </row>
        <row r="213">
          <cell r="B213" t="str">
            <v>CORTACIRCUITO CAÑUELA 15 KV EEB</v>
          </cell>
        </row>
        <row r="214">
          <cell r="B214" t="str">
            <v>CRUCETA MADERA  INMUNIZADA 2.5m</v>
          </cell>
        </row>
        <row r="215">
          <cell r="B215" t="str">
            <v>CRUCETA MADERA LIMATON INMUNIZADO 4.00m</v>
          </cell>
        </row>
        <row r="216">
          <cell r="B216" t="str">
            <v>CRUCETA METALICA GALVANIZADA DE 1.5 MTS 2½" x 1¼"</v>
          </cell>
        </row>
        <row r="217">
          <cell r="B217" t="str">
            <v>CRUCETA METALICA GALVANIZADA DE 1.5MT 2½"x3/16"</v>
          </cell>
        </row>
        <row r="218">
          <cell r="B218" t="str">
            <v>CRUCETA METALICA GALVANIZADA DE 2.0 MTS 2½" x 3/16"</v>
          </cell>
        </row>
        <row r="219">
          <cell r="B219" t="str">
            <v>CRUCETA METALICA GALVANIZADA DE 2.0 MTS 2½" x 3/16" RETENCION</v>
          </cell>
        </row>
        <row r="220">
          <cell r="B220" t="str">
            <v>CRUCETA METALICA GALVANIZADA DE 2.4 MTS 2½" x 3/16"</v>
          </cell>
        </row>
        <row r="221">
          <cell r="B221" t="str">
            <v>CRUCETA METALICA GALVANIZADA DE 5.0 MTS 3" x ¼"</v>
          </cell>
        </row>
        <row r="222">
          <cell r="B222" t="str">
            <v>DIAGONAL EN ANGULO TIPO BANDERA DE 1½"x3/16"x1.77MT</v>
          </cell>
        </row>
        <row r="223">
          <cell r="B223" t="str">
            <v>DIAGONAL RECTA CRUCETA METALICA DE 1½" x 3/16" x 1.10 MTS</v>
          </cell>
        </row>
        <row r="224">
          <cell r="B224" t="str">
            <v>DIAGONAL RECTA CRUCETA METALICA DE 1½" x 3/16" x 1.5 MTS</v>
          </cell>
        </row>
        <row r="225">
          <cell r="B225" t="str">
            <v>DIAGONAL VARILLA 3/4" x 0.77 MTS TIPO 2</v>
          </cell>
        </row>
        <row r="226">
          <cell r="B226" t="str">
            <v>DIAGONAL VARILLA 5/8"x0.77MT TIPO 1</v>
          </cell>
        </row>
        <row r="227">
          <cell r="B227" t="str">
            <v>ESPARRAGO DE 5/8" x 18"</v>
          </cell>
        </row>
        <row r="228">
          <cell r="B228" t="str">
            <v>ESPARRAGO DE 5/8" x 20"</v>
          </cell>
        </row>
        <row r="229">
          <cell r="B229" t="str">
            <v>ESPIGO CRUCETA METALICA DE ¾" x 8" 13.2kV</v>
          </cell>
        </row>
        <row r="230">
          <cell r="B230" t="str">
            <v>ESPIGO CRUCETA METALICA DE 5/8" x 7 1/2" 13.2kV</v>
          </cell>
        </row>
        <row r="231">
          <cell r="B231" t="str">
            <v>Excavación a mano o con equipo, cualquier tipo de terreno,  excepto el rocoso.</v>
          </cell>
        </row>
        <row r="232">
          <cell r="B232" t="str">
            <v>FUSIBLE K Y T 15A 15kV</v>
          </cell>
        </row>
        <row r="233">
          <cell r="B233" t="str">
            <v>FUSIBLE NH-2 200 AMPERIOS</v>
          </cell>
        </row>
        <row r="234">
          <cell r="B234" t="str">
            <v>GRAPA DE OPERAR EN CALIENTE</v>
          </cell>
        </row>
        <row r="235">
          <cell r="B235" t="str">
            <v>GRAPA PRENSADORA DE 1½" x ¼" x 6" 3PERNOS</v>
          </cell>
        </row>
        <row r="236">
          <cell r="B236" t="str">
            <v>GRAPA RETENCION RECTA 2/0-4/0</v>
          </cell>
        </row>
        <row r="237">
          <cell r="B237" t="str">
            <v>GRAPA RETENCION RECTA 6 - 2/0</v>
          </cell>
        </row>
        <row r="238">
          <cell r="B238" t="str">
            <v>GRUA PARA POSTERIA</v>
          </cell>
        </row>
        <row r="239">
          <cell r="B239" t="str">
            <v>GUARDACABO PESADO 1/2"</v>
          </cell>
        </row>
        <row r="240">
          <cell r="B240" t="str">
            <v>GUARDACABO PESADO 3/8</v>
          </cell>
        </row>
        <row r="241">
          <cell r="B241" t="str">
            <v>HEBILLA PARA BAND IT ½"</v>
          </cell>
        </row>
        <row r="242">
          <cell r="B242" t="str">
            <v>HERRAJE</v>
          </cell>
        </row>
        <row r="243">
          <cell r="B243" t="str">
            <v>HERRAMIENTA MENOR</v>
          </cell>
        </row>
        <row r="244">
          <cell r="B244" t="str">
            <v>INGENIERO ELECTRICO</v>
          </cell>
        </row>
        <row r="245">
          <cell r="B245" t="str">
            <v>Montaje transformador trifásico en poste hasta 150 KVA.</v>
          </cell>
        </row>
        <row r="246">
          <cell r="B246" t="str">
            <v>OFICIAL INSTALACIONES</v>
          </cell>
        </row>
        <row r="247">
          <cell r="B247" t="str">
            <v>PARARRAYO 10kA 15kV DISTRIBUCION</v>
          </cell>
        </row>
        <row r="248">
          <cell r="B248" t="str">
            <v>PERCHA PORTA AISLADOR 1 PUESTO TIPO PESADO</v>
          </cell>
        </row>
        <row r="249">
          <cell r="B249" t="str">
            <v>PERNO DE OJO DE 5/8" x 10"</v>
          </cell>
        </row>
        <row r="250">
          <cell r="B250" t="str">
            <v>PERNO DE OJO DE 5/8" x 12"</v>
          </cell>
        </row>
        <row r="251">
          <cell r="B251" t="str">
            <v>PERNO DE OJO DE 5/8" x 18"</v>
          </cell>
        </row>
        <row r="252">
          <cell r="B252" t="str">
            <v>PERNO DE OJO DE 5/8"x20"</v>
          </cell>
        </row>
        <row r="253">
          <cell r="B253" t="str">
            <v>POSTE CONCRETO  10M  510KG</v>
          </cell>
        </row>
        <row r="254">
          <cell r="B254" t="str">
            <v>POSTE CONCRETO  12M  1050KG</v>
          </cell>
        </row>
        <row r="255">
          <cell r="B255" t="str">
            <v>POSTE CONCRETO  12M  510KG</v>
          </cell>
        </row>
        <row r="256">
          <cell r="B256" t="str">
            <v>POSTE CONCRETO  12M 750 KG</v>
          </cell>
        </row>
        <row r="257">
          <cell r="B257" t="str">
            <v>SECCIONADOR MONOPOLAR 14.4 KV 600A</v>
          </cell>
        </row>
        <row r="258">
          <cell r="B258" t="str">
            <v>SECCIONADOR MONOPOLAR 400A 15kV</v>
          </cell>
        </row>
        <row r="259">
          <cell r="B259" t="str">
            <v>TORNILLO CARRIAJE 5/8"x1½"</v>
          </cell>
        </row>
        <row r="260">
          <cell r="B260" t="str">
            <v>TORNILLO DE ACERO GALVANIZADO 5/8" x 2"</v>
          </cell>
        </row>
        <row r="261">
          <cell r="B261" t="str">
            <v>TORNILLO DE ACERO GALVANIZADO 5/8" x 5"</v>
          </cell>
        </row>
        <row r="262">
          <cell r="B262" t="str">
            <v>TORNILLO DE ACERO GALVANIZADO 5/8" x 6"</v>
          </cell>
        </row>
        <row r="263">
          <cell r="B263" t="str">
            <v>TORNILLO DE ACERO GALVANIZADO 5/8" x 8"</v>
          </cell>
        </row>
        <row r="264">
          <cell r="B264" t="str">
            <v>TORNILLO DE ACERO GALVANIZADO 5/8"x10"</v>
          </cell>
        </row>
        <row r="265">
          <cell r="B265" t="str">
            <v>TRANSFORMADOR MONOFASICO ACEITE 75 KVA 7620/120V</v>
          </cell>
        </row>
        <row r="266">
          <cell r="B266" t="str">
            <v>TRANSPORTE GENERAL</v>
          </cell>
        </row>
        <row r="267">
          <cell r="B267" t="str">
            <v>TUBO CONDUIT GALVANIZADA 1½" + UNION</v>
          </cell>
        </row>
        <row r="268">
          <cell r="B268" t="str">
            <v>TUERCA OJO ALARGADO DE 5/8"</v>
          </cell>
        </row>
        <row r="269">
          <cell r="B269" t="str">
            <v>VARILLA ANCLAJE 3/4"x2 M</v>
          </cell>
        </row>
        <row r="270">
          <cell r="B270" t="str">
            <v>VARILLA ANCLAJE 5/8" x 1.50MTS</v>
          </cell>
        </row>
        <row r="271">
          <cell r="B271" t="str">
            <v>VARILLA PUESTA A TIERRA ELECTRODEPOSITADA 5/8 x 2.40 MTS Y CONECTOR</v>
          </cell>
        </row>
        <row r="272">
          <cell r="B272" t="str">
            <v>VIGUETA DE CONCRETO PIRAMIDAL 15kV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8">
          <cell r="B8" t="str">
            <v>ACERO CORRU./FIG. PR-60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>
        <row r="8">
          <cell r="B8" t="str">
            <v>ACERO CORRU./FIG. PR-60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>
        <row r="8">
          <cell r="B8" t="str">
            <v>ACERO CORRU./FIG. PR-60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>
        <row r="8">
          <cell r="B8" t="str">
            <v>ACERO CORRU./FIG. PR-60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>
        <row r="8">
          <cell r="B8" t="str">
            <v>ACERO CORRU./FIG. PR-60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OBRAS "/>
      <sheetName val="ResumenGeneral"/>
      <sheetName val="BOCATOMA"/>
      <sheetName val="APU BOCATOMA"/>
      <sheetName val="ADUCCIÓN"/>
      <sheetName val="APU ADUCCIÓN"/>
      <sheetName val="DESARENADOR"/>
      <sheetName val="APU DESARENADOR"/>
      <sheetName val="PLANTA DE TRATAMIENTO"/>
      <sheetName val="APU PLANTA DE TRATAMIENTO"/>
      <sheetName val="TANQUE DE ALMACENAMIENTO"/>
      <sheetName val="APU TANQUE ALMAC"/>
      <sheetName val=" REDES DE DISTRI"/>
      <sheetName val="APU_Redes"/>
      <sheetName val="BASE CTOS"/>
      <sheetName val="BASE"/>
      <sheetName val="RESUMEN_OBRAS_"/>
      <sheetName val="APU_BOCATOMA"/>
      <sheetName val="APU_ADUCCIÓN"/>
      <sheetName val="APU_DESARENADOR"/>
      <sheetName val="PLANTA_DE_TRATAMIENTO"/>
      <sheetName val="APU_PLANTA_DE_TRATAMIENTO"/>
      <sheetName val="TANQUE_DE_ALMACENAMIENTO"/>
      <sheetName val="APU_TANQUE_ALMAC"/>
      <sheetName val="_REDES_DE_DISTRI"/>
      <sheetName val="BASE_CTOS"/>
      <sheetName val="RESUMEN_OBRAS_1"/>
      <sheetName val="APU_BOCATOMA1"/>
      <sheetName val="APU_ADUCCIÓN1"/>
      <sheetName val="APU_DESARENADOR1"/>
      <sheetName val="PLANTA_DE_TRATAMIENTO1"/>
      <sheetName val="APU_PLANTA_DE_TRATAMIENTO1"/>
      <sheetName val="TANQUE_DE_ALMACENAMIENTO1"/>
      <sheetName val="APU_TANQUE_ALMAC1"/>
      <sheetName val="_REDES_DE_DISTRI1"/>
      <sheetName val="BASE_CTOS1"/>
      <sheetName val="RESUMEN_OBRAS_5"/>
      <sheetName val="APU_BOCATOMA5"/>
      <sheetName val="APU_ADUCCIÓN5"/>
      <sheetName val="APU_DESARENADOR5"/>
      <sheetName val="PLANTA_DE_TRATAMIENTO5"/>
      <sheetName val="APU_PLANTA_DE_TRATAMIENTO5"/>
      <sheetName val="TANQUE_DE_ALMACENAMIENTO5"/>
      <sheetName val="APU_TANQUE_ALMAC5"/>
      <sheetName val="_REDES_DE_DISTRI5"/>
      <sheetName val="BASE_CTOS5"/>
      <sheetName val="RESUMEN_OBRAS_2"/>
      <sheetName val="APU_BOCATOMA2"/>
      <sheetName val="APU_ADUCCIÓN2"/>
      <sheetName val="APU_DESARENADOR2"/>
      <sheetName val="PLANTA_DE_TRATAMIENTO2"/>
      <sheetName val="APU_PLANTA_DE_TRATAMIENTO2"/>
      <sheetName val="TANQUE_DE_ALMACENAMIENTO2"/>
      <sheetName val="APU_TANQUE_ALMAC2"/>
      <sheetName val="_REDES_DE_DISTRI2"/>
      <sheetName val="BASE_CTOS2"/>
      <sheetName val="RESUMEN_OBRAS_3"/>
      <sheetName val="APU_BOCATOMA3"/>
      <sheetName val="APU_ADUCCIÓN3"/>
      <sheetName val="APU_DESARENADOR3"/>
      <sheetName val="PLANTA_DE_TRATAMIENTO3"/>
      <sheetName val="APU_PLANTA_DE_TRATAMIENTO3"/>
      <sheetName val="TANQUE_DE_ALMACENAMIENTO3"/>
      <sheetName val="APU_TANQUE_ALMAC3"/>
      <sheetName val="_REDES_DE_DISTRI3"/>
      <sheetName val="BASE_CTOS3"/>
      <sheetName val="RESUMEN_OBRAS_4"/>
      <sheetName val="APU_BOCATOMA4"/>
      <sheetName val="APU_ADUCCIÓN4"/>
      <sheetName val="APU_DESARENADOR4"/>
      <sheetName val="PLANTA_DE_TRATAMIENTO4"/>
      <sheetName val="APU_PLANTA_DE_TRATAMIENTO4"/>
      <sheetName val="TANQUE_DE_ALMACENAMIENTO4"/>
      <sheetName val="APU_TANQUE_ALMAC4"/>
      <sheetName val="_REDES_DE_DISTRI4"/>
      <sheetName val="BASE_CTOS4"/>
      <sheetName val="RESUMEN_OBRAS_6"/>
      <sheetName val="APU_BOCATOMA6"/>
      <sheetName val="APU_ADUCCIÓN6"/>
      <sheetName val="APU_DESARENADOR6"/>
      <sheetName val="PLANTA_DE_TRATAMIENTO6"/>
      <sheetName val="APU_PLANTA_DE_TRATAMIENTO6"/>
      <sheetName val="TANQUE_DE_ALMACENAMIENTO6"/>
      <sheetName val="APU_TANQUE_ALMAC6"/>
      <sheetName val="_REDES_DE_DISTRI6"/>
      <sheetName val="BASE_CTOS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5">
          <cell r="C5">
            <v>0.06</v>
          </cell>
        </row>
        <row r="63">
          <cell r="D63">
            <v>348000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-SEM-INT-17 A"/>
      <sheetName val="CONTRATO CON SGI LTDA"/>
      <sheetName val="DATOS SEMANALES"/>
      <sheetName val="INF-SEM-INT-17_A"/>
      <sheetName val="CONTRATO_CON_SGI_LTDA"/>
      <sheetName val="DATOS_SEMANALES"/>
      <sheetName val="INF-SEM-INT-17_A1"/>
      <sheetName val="CONTRATO_CON_SGI_LTDA1"/>
      <sheetName val="DATOS_SEMANALES1"/>
      <sheetName val="INF-SEM-INT-17_A5"/>
      <sheetName val="CONTRATO_CON_SGI_LTDA5"/>
      <sheetName val="DATOS_SEMANALES5"/>
      <sheetName val="INF-SEM-INT-17_A2"/>
      <sheetName val="CONTRATO_CON_SGI_LTDA2"/>
      <sheetName val="DATOS_SEMANALES2"/>
      <sheetName val="INF-SEM-INT-17_A3"/>
      <sheetName val="CONTRATO_CON_SGI_LTDA3"/>
      <sheetName val="DATOS_SEMANALES3"/>
      <sheetName val="INF-SEM-INT-17_A4"/>
      <sheetName val="CONTRATO_CON_SGI_LTDA4"/>
      <sheetName val="DATOS_SEMANALES4"/>
      <sheetName val="INF-SEM-INT-17_A6"/>
      <sheetName val="CONTRATO_CON_SGI_LTDA6"/>
      <sheetName val="DATOS_SEMANALES6"/>
    </sheetNames>
    <sheetDataSet>
      <sheetData sheetId="0" refreshError="1"/>
      <sheetData sheetId="1" refreshError="1"/>
      <sheetData sheetId="2">
        <row r="234">
          <cell r="F234">
            <v>24</v>
          </cell>
        </row>
      </sheetData>
      <sheetData sheetId="3"/>
      <sheetData sheetId="4"/>
      <sheetData sheetId="5">
        <row r="234">
          <cell r="F234">
            <v>24</v>
          </cell>
          <cell r="G234">
            <v>104</v>
          </cell>
          <cell r="H234">
            <v>184</v>
          </cell>
          <cell r="I234">
            <v>240</v>
          </cell>
          <cell r="J234">
            <v>472</v>
          </cell>
          <cell r="K234">
            <v>544</v>
          </cell>
          <cell r="L234">
            <v>552</v>
          </cell>
          <cell r="M234">
            <v>560</v>
          </cell>
          <cell r="N234">
            <v>904</v>
          </cell>
          <cell r="O234">
            <v>936</v>
          </cell>
          <cell r="P234">
            <v>856</v>
          </cell>
          <cell r="Q234">
            <v>840</v>
          </cell>
          <cell r="R234">
            <v>848</v>
          </cell>
          <cell r="S234">
            <v>776</v>
          </cell>
          <cell r="T234">
            <v>760</v>
          </cell>
          <cell r="U234">
            <v>608</v>
          </cell>
          <cell r="V234">
            <v>448</v>
          </cell>
          <cell r="W234">
            <v>0</v>
          </cell>
          <cell r="X234">
            <v>0</v>
          </cell>
          <cell r="Y234">
            <v>0</v>
          </cell>
        </row>
        <row r="235">
          <cell r="F235">
            <v>24</v>
          </cell>
          <cell r="G235">
            <v>128</v>
          </cell>
          <cell r="H235">
            <v>312</v>
          </cell>
          <cell r="I235">
            <v>552</v>
          </cell>
          <cell r="J235">
            <v>1024</v>
          </cell>
          <cell r="K235">
            <v>1568</v>
          </cell>
          <cell r="L235">
            <v>2120</v>
          </cell>
          <cell r="M235">
            <v>2680</v>
          </cell>
          <cell r="N235">
            <v>3584</v>
          </cell>
          <cell r="O235">
            <v>4520</v>
          </cell>
          <cell r="P235">
            <v>5376</v>
          </cell>
          <cell r="Q235">
            <v>6216</v>
          </cell>
          <cell r="R235">
            <v>7064</v>
          </cell>
          <cell r="S235">
            <v>7840</v>
          </cell>
          <cell r="T235">
            <v>8600</v>
          </cell>
          <cell r="U235">
            <v>9208</v>
          </cell>
          <cell r="V235">
            <v>9656</v>
          </cell>
          <cell r="W235">
            <v>9656</v>
          </cell>
          <cell r="X235">
            <v>9656</v>
          </cell>
          <cell r="Y235">
            <v>9656</v>
          </cell>
        </row>
        <row r="237">
          <cell r="F237">
            <v>24</v>
          </cell>
          <cell r="G237">
            <v>104</v>
          </cell>
          <cell r="H237">
            <v>208</v>
          </cell>
          <cell r="I237">
            <v>240</v>
          </cell>
          <cell r="J237">
            <v>408</v>
          </cell>
          <cell r="K237">
            <v>496</v>
          </cell>
          <cell r="L237">
            <v>576</v>
          </cell>
          <cell r="M237">
            <v>576</v>
          </cell>
          <cell r="N237">
            <v>768</v>
          </cell>
          <cell r="O237">
            <v>864.96911999999998</v>
          </cell>
          <cell r="P237">
            <v>624</v>
          </cell>
          <cell r="Q237">
            <v>672</v>
          </cell>
          <cell r="R237">
            <v>696</v>
          </cell>
          <cell r="S237">
            <v>744</v>
          </cell>
          <cell r="T237">
            <v>672</v>
          </cell>
          <cell r="U237">
            <v>296</v>
          </cell>
          <cell r="V237">
            <v>304</v>
          </cell>
          <cell r="W237">
            <v>296</v>
          </cell>
          <cell r="X237">
            <v>304</v>
          </cell>
          <cell r="Y237">
            <v>280</v>
          </cell>
        </row>
        <row r="238">
          <cell r="F238">
            <v>24</v>
          </cell>
          <cell r="G238">
            <v>128</v>
          </cell>
          <cell r="H238">
            <v>336</v>
          </cell>
          <cell r="I238">
            <v>576</v>
          </cell>
          <cell r="J238">
            <v>984</v>
          </cell>
          <cell r="K238">
            <v>1480</v>
          </cell>
          <cell r="L238">
            <v>2056</v>
          </cell>
          <cell r="M238">
            <v>2632</v>
          </cell>
          <cell r="N238">
            <v>3400</v>
          </cell>
          <cell r="O238">
            <v>4264.9691199999997</v>
          </cell>
          <cell r="P238">
            <v>4888.9691199999997</v>
          </cell>
          <cell r="Q238">
            <v>5560.9691199999997</v>
          </cell>
          <cell r="R238">
            <v>6256.9691199999997</v>
          </cell>
          <cell r="S238">
            <v>7000.9691199999997</v>
          </cell>
          <cell r="T238">
            <v>7672.9691199999997</v>
          </cell>
          <cell r="U238">
            <v>7968.9691199999997</v>
          </cell>
          <cell r="V238">
            <v>8272.9691199999997</v>
          </cell>
          <cell r="W238">
            <v>8568.9691199999997</v>
          </cell>
          <cell r="X238">
            <v>8872.9691199999997</v>
          </cell>
          <cell r="Y238">
            <v>9152.9691199999997</v>
          </cell>
        </row>
      </sheetData>
      <sheetData sheetId="6"/>
      <sheetData sheetId="7"/>
      <sheetData sheetId="8"/>
      <sheetData sheetId="9"/>
      <sheetData sheetId="10"/>
      <sheetData sheetId="11">
        <row r="234">
          <cell r="F234">
            <v>24</v>
          </cell>
        </row>
      </sheetData>
      <sheetData sheetId="12"/>
      <sheetData sheetId="13"/>
      <sheetData sheetId="14">
        <row r="234">
          <cell r="F234">
            <v>24</v>
          </cell>
        </row>
      </sheetData>
      <sheetData sheetId="15"/>
      <sheetData sheetId="16"/>
      <sheetData sheetId="17">
        <row r="234">
          <cell r="F234">
            <v>24</v>
          </cell>
        </row>
      </sheetData>
      <sheetData sheetId="18"/>
      <sheetData sheetId="19"/>
      <sheetData sheetId="20">
        <row r="234">
          <cell r="F234">
            <v>24</v>
          </cell>
        </row>
      </sheetData>
      <sheetData sheetId="21"/>
      <sheetData sheetId="22"/>
      <sheetData sheetId="23">
        <row r="234">
          <cell r="F234">
            <v>24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SUB APU"/>
      <sheetName val="INSUMOS"/>
      <sheetName val="Cantidades de Obra"/>
      <sheetName val="FORMULARIO"/>
      <sheetName val="SUB_APU"/>
      <sheetName val="Cantidades_de_Obra"/>
      <sheetName val="SUB_APU1"/>
      <sheetName val="Cantidades_de_Obra1"/>
      <sheetName val="SUB_APU5"/>
      <sheetName val="Cantidades_de_Obra5"/>
      <sheetName val="SUB_APU2"/>
      <sheetName val="Cantidades_de_Obra2"/>
      <sheetName val="SUB_APU3"/>
      <sheetName val="Cantidades_de_Obra3"/>
      <sheetName val="SUB_APU4"/>
      <sheetName val="Cantidades_de_Obra4"/>
      <sheetName val="SUB_APU6"/>
      <sheetName val="Cantidades_de_Obra6"/>
    </sheetNames>
    <sheetDataSet>
      <sheetData sheetId="0"/>
      <sheetData sheetId="1"/>
      <sheetData sheetId="2" refreshError="1">
        <row r="1">
          <cell r="A1" t="str">
            <v>CODIGO</v>
          </cell>
          <cell r="B1" t="str">
            <v>RECURSO</v>
          </cell>
          <cell r="C1" t="str">
            <v>UN</v>
          </cell>
          <cell r="D1" t="str">
            <v>V/UNITARIO</v>
          </cell>
          <cell r="E1" t="str">
            <v>FECHA</v>
          </cell>
        </row>
        <row r="2">
          <cell r="B2" t="str">
            <v>MATERIALES</v>
          </cell>
        </row>
        <row r="3">
          <cell r="A3" t="str">
            <v>M010</v>
          </cell>
          <cell r="B3" t="str">
            <v>CEMENTO</v>
          </cell>
          <cell r="C3" t="str">
            <v>SACO</v>
          </cell>
          <cell r="D3">
            <v>14280.000000000002</v>
          </cell>
          <cell r="E3">
            <v>36486</v>
          </cell>
        </row>
        <row r="4">
          <cell r="A4" t="str">
            <v>M020</v>
          </cell>
          <cell r="B4" t="str">
            <v>AGUA</v>
          </cell>
          <cell r="C4" t="str">
            <v>M3</v>
          </cell>
          <cell r="D4">
            <v>742.56000000000017</v>
          </cell>
          <cell r="E4">
            <v>36486</v>
          </cell>
        </row>
        <row r="5">
          <cell r="A5" t="str">
            <v>M030</v>
          </cell>
          <cell r="B5" t="str">
            <v>ARENA CONCRETO</v>
          </cell>
          <cell r="C5" t="str">
            <v>M3</v>
          </cell>
          <cell r="D5">
            <v>25704</v>
          </cell>
          <cell r="E5">
            <v>36486</v>
          </cell>
        </row>
        <row r="6">
          <cell r="A6" t="str">
            <v>M040</v>
          </cell>
          <cell r="B6" t="str">
            <v>ARENA DE PEGA</v>
          </cell>
          <cell r="C6" t="str">
            <v>M3</v>
          </cell>
          <cell r="D6">
            <v>21939.792000000001</v>
          </cell>
          <cell r="E6">
            <v>36486</v>
          </cell>
        </row>
        <row r="7">
          <cell r="A7" t="str">
            <v>M050</v>
          </cell>
          <cell r="B7" t="str">
            <v>ARENA DE REVOQUE</v>
          </cell>
          <cell r="C7" t="str">
            <v>M3</v>
          </cell>
          <cell r="D7">
            <v>28245.84</v>
          </cell>
          <cell r="E7">
            <v>36486</v>
          </cell>
        </row>
        <row r="8">
          <cell r="A8" t="str">
            <v>M060</v>
          </cell>
          <cell r="B8" t="str">
            <v>TRITURADO 3/4</v>
          </cell>
          <cell r="C8" t="str">
            <v>M3</v>
          </cell>
          <cell r="D8">
            <v>25704</v>
          </cell>
          <cell r="E8">
            <v>36486</v>
          </cell>
        </row>
        <row r="9">
          <cell r="A9" t="str">
            <v>M070</v>
          </cell>
          <cell r="B9" t="str">
            <v>GRAVA D=2" PARA FILTRO</v>
          </cell>
          <cell r="C9" t="str">
            <v>M3</v>
          </cell>
          <cell r="D9">
            <v>23562</v>
          </cell>
          <cell r="E9">
            <v>36486</v>
          </cell>
        </row>
        <row r="10">
          <cell r="A10" t="str">
            <v>M080</v>
          </cell>
          <cell r="B10" t="str">
            <v>BASE GRANULAR</v>
          </cell>
          <cell r="C10" t="str">
            <v>M3</v>
          </cell>
          <cell r="D10">
            <v>25704</v>
          </cell>
          <cell r="E10">
            <v>36486</v>
          </cell>
        </row>
        <row r="11">
          <cell r="A11" t="str">
            <v>M090</v>
          </cell>
          <cell r="B11" t="str">
            <v xml:space="preserve">GRAVA 2 </v>
          </cell>
          <cell r="C11" t="str">
            <v>M3</v>
          </cell>
          <cell r="D11">
            <v>23562</v>
          </cell>
          <cell r="E11">
            <v>36486</v>
          </cell>
        </row>
        <row r="12">
          <cell r="A12" t="str">
            <v>M100</v>
          </cell>
          <cell r="B12" t="str">
            <v>ARENA FINA PARA FILTRO</v>
          </cell>
          <cell r="C12" t="str">
            <v>M3</v>
          </cell>
          <cell r="D12">
            <v>25704</v>
          </cell>
          <cell r="E12">
            <v>36486</v>
          </cell>
        </row>
        <row r="13">
          <cell r="A13" t="str">
            <v>M110</v>
          </cell>
          <cell r="B13" t="str">
            <v>ARENILLA</v>
          </cell>
          <cell r="C13" t="str">
            <v>M3</v>
          </cell>
          <cell r="D13">
            <v>19278</v>
          </cell>
          <cell r="E13">
            <v>36486</v>
          </cell>
        </row>
        <row r="14">
          <cell r="A14" t="str">
            <v>M120</v>
          </cell>
          <cell r="B14" t="str">
            <v>ACERO 5/8  60000</v>
          </cell>
          <cell r="C14" t="str">
            <v>KG</v>
          </cell>
          <cell r="D14">
            <v>1447.6288659793818</v>
          </cell>
          <cell r="E14">
            <v>36486</v>
          </cell>
        </row>
        <row r="15">
          <cell r="A15" t="str">
            <v>M130</v>
          </cell>
          <cell r="B15" t="str">
            <v>ACERO 1/2  60000</v>
          </cell>
          <cell r="C15" t="str">
            <v>KG</v>
          </cell>
          <cell r="D15">
            <v>953.91549295774655</v>
          </cell>
          <cell r="E15">
            <v>36486</v>
          </cell>
        </row>
        <row r="16">
          <cell r="A16" t="str">
            <v>M140</v>
          </cell>
          <cell r="B16" t="str">
            <v>ACERO 3/8  40000</v>
          </cell>
          <cell r="C16" t="str">
            <v>KG</v>
          </cell>
          <cell r="D16">
            <v>1179.8000000000002</v>
          </cell>
          <cell r="E16">
            <v>36486</v>
          </cell>
        </row>
        <row r="17">
          <cell r="A17" t="str">
            <v>M150</v>
          </cell>
          <cell r="B17" t="str">
            <v>BLOQUE DE CONCRETO 0.10X0.20X0.40m</v>
          </cell>
          <cell r="C17" t="str">
            <v>UN</v>
          </cell>
          <cell r="D17">
            <v>1028.1600000000001</v>
          </cell>
          <cell r="E17">
            <v>36486</v>
          </cell>
        </row>
        <row r="18">
          <cell r="A18" t="str">
            <v>M160</v>
          </cell>
          <cell r="B18" t="str">
            <v>CANES</v>
          </cell>
          <cell r="C18" t="str">
            <v>M</v>
          </cell>
          <cell r="D18">
            <v>1863.54</v>
          </cell>
          <cell r="E18">
            <v>36486</v>
          </cell>
        </row>
        <row r="19">
          <cell r="A19" t="str">
            <v>M170</v>
          </cell>
          <cell r="B19" t="str">
            <v>LARGUEROS</v>
          </cell>
          <cell r="C19" t="str">
            <v>M</v>
          </cell>
          <cell r="D19">
            <v>931.77</v>
          </cell>
          <cell r="E19">
            <v>36486</v>
          </cell>
        </row>
        <row r="20">
          <cell r="A20" t="str">
            <v>M180</v>
          </cell>
          <cell r="B20" t="str">
            <v>TACO DE MADERA</v>
          </cell>
          <cell r="C20" t="str">
            <v>M</v>
          </cell>
          <cell r="D20">
            <v>931.77</v>
          </cell>
          <cell r="E20">
            <v>36486</v>
          </cell>
        </row>
        <row r="21">
          <cell r="A21" t="str">
            <v>M190</v>
          </cell>
          <cell r="B21" t="str">
            <v>TABLAS</v>
          </cell>
          <cell r="C21" t="str">
            <v>M</v>
          </cell>
          <cell r="D21">
            <v>931.77</v>
          </cell>
          <cell r="E21">
            <v>36486</v>
          </cell>
        </row>
        <row r="22">
          <cell r="A22" t="str">
            <v>M200</v>
          </cell>
          <cell r="B22" t="str">
            <v>TUBERIA SANIT. DE D=2"</v>
          </cell>
          <cell r="C22" t="str">
            <v>M</v>
          </cell>
          <cell r="D22">
            <v>4981.3400000000011</v>
          </cell>
          <cell r="E22">
            <v>36486</v>
          </cell>
        </row>
        <row r="23">
          <cell r="A23" t="str">
            <v>M210</v>
          </cell>
          <cell r="B23" t="str">
            <v>TUBERIA SANIT. DE D=3"</v>
          </cell>
          <cell r="C23" t="str">
            <v>M</v>
          </cell>
          <cell r="D23">
            <v>7351.344000000001</v>
          </cell>
          <cell r="E23">
            <v>36486</v>
          </cell>
        </row>
        <row r="24">
          <cell r="A24" t="str">
            <v>M220</v>
          </cell>
          <cell r="B24" t="str">
            <v>TUBERIA SANIT. DE D=4"</v>
          </cell>
          <cell r="C24" t="str">
            <v>M</v>
          </cell>
          <cell r="D24">
            <v>10228.049999999999</v>
          </cell>
          <cell r="E24">
            <v>36486</v>
          </cell>
        </row>
        <row r="25">
          <cell r="A25" t="str">
            <v>M230</v>
          </cell>
          <cell r="B25" t="str">
            <v>TUBERIA SANIT. DE D=6"</v>
          </cell>
          <cell r="C25" t="str">
            <v>M</v>
          </cell>
          <cell r="D25">
            <v>20964.944000000003</v>
          </cell>
          <cell r="E25">
            <v>36486</v>
          </cell>
        </row>
        <row r="26">
          <cell r="A26" t="str">
            <v>M240</v>
          </cell>
          <cell r="B26" t="str">
            <v>TUBERIA AGUAS LLUVIAS DE D=2"</v>
          </cell>
          <cell r="C26" t="str">
            <v>M</v>
          </cell>
          <cell r="D26">
            <v>4981.3400000000011</v>
          </cell>
          <cell r="E26">
            <v>36486</v>
          </cell>
        </row>
        <row r="27">
          <cell r="A27" t="str">
            <v>M250</v>
          </cell>
          <cell r="B27" t="str">
            <v>TEE PVC SANITARIA D=3"</v>
          </cell>
          <cell r="C27" t="str">
            <v>UN</v>
          </cell>
          <cell r="D27">
            <v>5302.9922399999996</v>
          </cell>
          <cell r="E27">
            <v>36486</v>
          </cell>
        </row>
        <row r="28">
          <cell r="A28" t="str">
            <v>M260</v>
          </cell>
          <cell r="B28" t="str">
            <v>TEE PVC SANITARIA D=4"</v>
          </cell>
          <cell r="C28" t="str">
            <v>UN</v>
          </cell>
          <cell r="D28">
            <v>10950.977856000003</v>
          </cell>
          <cell r="E28">
            <v>36486</v>
          </cell>
        </row>
        <row r="29">
          <cell r="A29" t="str">
            <v>M270</v>
          </cell>
          <cell r="B29" t="str">
            <v>CODO 90 CxC D=2"</v>
          </cell>
          <cell r="C29" t="str">
            <v>UN</v>
          </cell>
          <cell r="D29">
            <v>1950.4080960000003</v>
          </cell>
          <cell r="E29">
            <v>36486</v>
          </cell>
        </row>
        <row r="30">
          <cell r="A30" t="str">
            <v>M280</v>
          </cell>
          <cell r="B30" t="str">
            <v>CODO 90 CxC D=3"</v>
          </cell>
          <cell r="C30" t="str">
            <v>UN</v>
          </cell>
          <cell r="D30">
            <v>4500.2848800000002</v>
          </cell>
          <cell r="E30">
            <v>36486</v>
          </cell>
        </row>
        <row r="31">
          <cell r="A31" t="str">
            <v>M290</v>
          </cell>
          <cell r="B31" t="str">
            <v>CODO 90 CxC D=4"</v>
          </cell>
          <cell r="C31" t="str">
            <v>UN</v>
          </cell>
          <cell r="D31">
            <v>8278.1331360000004</v>
          </cell>
          <cell r="E31">
            <v>36486</v>
          </cell>
        </row>
        <row r="32">
          <cell r="A32" t="str">
            <v>M300</v>
          </cell>
          <cell r="B32" t="str">
            <v>SIFON 180 PVC D=4"</v>
          </cell>
          <cell r="C32" t="str">
            <v>UN</v>
          </cell>
          <cell r="D32">
            <v>14233.538592000003</v>
          </cell>
          <cell r="E32">
            <v>36486</v>
          </cell>
        </row>
        <row r="33">
          <cell r="A33" t="str">
            <v>M310</v>
          </cell>
          <cell r="B33" t="str">
            <v>BUJE PVC 3"x2"</v>
          </cell>
          <cell r="C33" t="str">
            <v>UN</v>
          </cell>
          <cell r="D33">
            <v>2657.4737280000004</v>
          </cell>
          <cell r="E33">
            <v>36486</v>
          </cell>
        </row>
        <row r="34">
          <cell r="A34" t="str">
            <v>M320</v>
          </cell>
          <cell r="B34" t="str">
            <v>YEE PVC 2"</v>
          </cell>
          <cell r="C34" t="str">
            <v>UN</v>
          </cell>
          <cell r="D34">
            <v>3137.3902559999997</v>
          </cell>
          <cell r="E34">
            <v>36486</v>
          </cell>
        </row>
        <row r="35">
          <cell r="A35" t="str">
            <v>M330</v>
          </cell>
          <cell r="B35" t="str">
            <v>FORMALETERÍA</v>
          </cell>
          <cell r="C35" t="str">
            <v>M2</v>
          </cell>
          <cell r="D35">
            <v>68544</v>
          </cell>
          <cell r="E35">
            <v>36486</v>
          </cell>
        </row>
        <row r="36">
          <cell r="A36" t="str">
            <v>M340</v>
          </cell>
          <cell r="B36" t="str">
            <v>PLÁSTICO</v>
          </cell>
          <cell r="C36" t="str">
            <v>M2</v>
          </cell>
          <cell r="D36">
            <v>1142.4000000000001</v>
          </cell>
          <cell r="E36">
            <v>36486</v>
          </cell>
        </row>
        <row r="37">
          <cell r="A37" t="str">
            <v>M350</v>
          </cell>
          <cell r="B37" t="str">
            <v>LÁMINA CALIBRE 24</v>
          </cell>
          <cell r="C37" t="str">
            <v>M2</v>
          </cell>
          <cell r="D37">
            <v>3722.7433501078367</v>
          </cell>
          <cell r="E37">
            <v>36486</v>
          </cell>
        </row>
        <row r="38">
          <cell r="A38" t="str">
            <v>M360</v>
          </cell>
          <cell r="B38" t="str">
            <v>PINTURA ANTICORROSIVA</v>
          </cell>
          <cell r="C38" t="str">
            <v>M2</v>
          </cell>
          <cell r="D38">
            <v>661.86086400000011</v>
          </cell>
          <cell r="E38">
            <v>36486</v>
          </cell>
        </row>
        <row r="39">
          <cell r="A39" t="str">
            <v>M370</v>
          </cell>
          <cell r="B39" t="str">
            <v>PLASTOCRETE - CONCREPLAS</v>
          </cell>
          <cell r="C39" t="str">
            <v>KG</v>
          </cell>
          <cell r="D39">
            <v>2794.3675200000002</v>
          </cell>
          <cell r="E39">
            <v>36486</v>
          </cell>
        </row>
        <row r="40">
          <cell r="A40" t="str">
            <v>M380</v>
          </cell>
          <cell r="B40" t="str">
            <v>ENSAYO PERCOLACIÓN</v>
          </cell>
          <cell r="C40" t="str">
            <v>UN</v>
          </cell>
          <cell r="D40">
            <v>9139.2000000000007</v>
          </cell>
          <cell r="E40">
            <v>36486</v>
          </cell>
        </row>
        <row r="41">
          <cell r="A41" t="str">
            <v>M390</v>
          </cell>
          <cell r="B41" t="str">
            <v xml:space="preserve">IMPERMEABILIZANTE </v>
          </cell>
          <cell r="C41" t="str">
            <v>KG</v>
          </cell>
          <cell r="D41">
            <v>2513.2800000000007</v>
          </cell>
          <cell r="E41">
            <v>36486</v>
          </cell>
        </row>
        <row r="42">
          <cell r="A42" t="str">
            <v>M400</v>
          </cell>
          <cell r="B42" t="str">
            <v>SIFON 180 PVC D=2"</v>
          </cell>
          <cell r="C42" t="str">
            <v>UN</v>
          </cell>
          <cell r="D42">
            <v>3157.8849120000004</v>
          </cell>
          <cell r="E42">
            <v>36486</v>
          </cell>
        </row>
        <row r="43">
          <cell r="A43" t="str">
            <v>M410</v>
          </cell>
          <cell r="B43" t="str">
            <v>DINAMITA</v>
          </cell>
          <cell r="C43" t="str">
            <v>PULG</v>
          </cell>
          <cell r="D43">
            <v>799.68000000000018</v>
          </cell>
          <cell r="E43">
            <v>36486</v>
          </cell>
        </row>
        <row r="44">
          <cell r="A44" t="str">
            <v>M420</v>
          </cell>
          <cell r="B44" t="str">
            <v>ALAMBRE DE AMARRAR</v>
          </cell>
          <cell r="C44" t="str">
            <v>KG</v>
          </cell>
          <cell r="D44">
            <v>1606.5</v>
          </cell>
          <cell r="E44">
            <v>36486</v>
          </cell>
        </row>
        <row r="45">
          <cell r="A45" t="str">
            <v>M430</v>
          </cell>
          <cell r="B45" t="str">
            <v>MADERA</v>
          </cell>
          <cell r="C45" t="str">
            <v>M2</v>
          </cell>
          <cell r="D45">
            <v>1927.8</v>
          </cell>
          <cell r="E45">
            <v>36486</v>
          </cell>
        </row>
        <row r="46">
          <cell r="A46" t="str">
            <v>M440</v>
          </cell>
          <cell r="B46" t="str">
            <v>LIMPIADOR Y SOLDADURA</v>
          </cell>
          <cell r="C46" t="str">
            <v>GL</v>
          </cell>
          <cell r="D46">
            <v>180899.49696000002</v>
          </cell>
          <cell r="E46">
            <v>36486</v>
          </cell>
        </row>
        <row r="47">
          <cell r="A47" t="str">
            <v>M450</v>
          </cell>
          <cell r="B47" t="str">
            <v>BOTADERO</v>
          </cell>
          <cell r="C47" t="str">
            <v>M3</v>
          </cell>
          <cell r="D47">
            <v>4569.6000000000004</v>
          </cell>
          <cell r="E47">
            <v>36486</v>
          </cell>
        </row>
        <row r="48">
          <cell r="A48" t="str">
            <v>M460</v>
          </cell>
          <cell r="B48" t="str">
            <v>MORTERO</v>
          </cell>
          <cell r="C48" t="str">
            <v>M3</v>
          </cell>
          <cell r="D48">
            <v>262752.00000000006</v>
          </cell>
          <cell r="E48">
            <v>36486</v>
          </cell>
        </row>
        <row r="49">
          <cell r="A49" t="str">
            <v>M470</v>
          </cell>
          <cell r="B49" t="str">
            <v>TUBERIA POLIETILENO D=3"</v>
          </cell>
          <cell r="C49" t="str">
            <v>M</v>
          </cell>
          <cell r="D49">
            <v>6509.680800000001</v>
          </cell>
          <cell r="E49">
            <v>36486</v>
          </cell>
        </row>
        <row r="50">
          <cell r="A50" t="str">
            <v>M480</v>
          </cell>
          <cell r="B50" t="str">
            <v>CONCRETO DE Fc=210 Kg/cm2</v>
          </cell>
          <cell r="C50" t="str">
            <v>M3</v>
          </cell>
          <cell r="D50">
            <v>285600</v>
          </cell>
          <cell r="E50">
            <v>36486</v>
          </cell>
        </row>
        <row r="51">
          <cell r="A51" t="str">
            <v>M485</v>
          </cell>
          <cell r="B51" t="str">
            <v xml:space="preserve">GRAMA </v>
          </cell>
          <cell r="C51" t="str">
            <v>M2</v>
          </cell>
          <cell r="D51">
            <v>6509.680800000001</v>
          </cell>
          <cell r="E51">
            <v>36486</v>
          </cell>
        </row>
        <row r="52">
          <cell r="A52" t="str">
            <v>M490</v>
          </cell>
          <cell r="B52" t="str">
            <v>BLOQUE DE CONCRETO 0.15X0.20X0.40m</v>
          </cell>
          <cell r="C52" t="str">
            <v>UN</v>
          </cell>
          <cell r="D52">
            <v>1773.576</v>
          </cell>
          <cell r="E52">
            <v>36486</v>
          </cell>
        </row>
        <row r="53">
          <cell r="A53" t="str">
            <v>Z300</v>
          </cell>
          <cell r="B53" t="str">
            <v>CORDON DE SOLDADURA</v>
          </cell>
          <cell r="C53" t="str">
            <v>CM</v>
          </cell>
          <cell r="D53">
            <v>17136</v>
          </cell>
          <cell r="E53">
            <v>36486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36486</v>
          </cell>
        </row>
        <row r="55">
          <cell r="A55" t="str">
            <v>CODIGO</v>
          </cell>
          <cell r="B55" t="str">
            <v>RECURSO</v>
          </cell>
          <cell r="C55" t="str">
            <v>UN</v>
          </cell>
          <cell r="D55" t="str">
            <v>V/UNITARIO</v>
          </cell>
        </row>
        <row r="56">
          <cell r="B56" t="str">
            <v>EQUIPO</v>
          </cell>
        </row>
        <row r="57">
          <cell r="A57" t="str">
            <v>E010</v>
          </cell>
          <cell r="B57" t="str">
            <v>RETROEXCAVADORA DE LLANTAS TIPO F555</v>
          </cell>
          <cell r="C57" t="str">
            <v>HR</v>
          </cell>
          <cell r="D57">
            <v>45696.000000000007</v>
          </cell>
          <cell r="E57">
            <v>36486</v>
          </cell>
        </row>
        <row r="58">
          <cell r="A58" t="str">
            <v>E020</v>
          </cell>
          <cell r="B58" t="str">
            <v>COMPRESOR NEUMATICO CON MARTILLO</v>
          </cell>
          <cell r="C58" t="str">
            <v>HR</v>
          </cell>
          <cell r="D58">
            <v>35471.520000000004</v>
          </cell>
          <cell r="E58">
            <v>36486</v>
          </cell>
        </row>
        <row r="59">
          <cell r="A59" t="str">
            <v>E030</v>
          </cell>
          <cell r="B59" t="str">
            <v>VIBROCOMPACTADOR</v>
          </cell>
          <cell r="C59" t="str">
            <v>DIA</v>
          </cell>
          <cell r="D59">
            <v>19706.400000000005</v>
          </cell>
          <cell r="E59">
            <v>36486</v>
          </cell>
        </row>
        <row r="60">
          <cell r="A60" t="str">
            <v>E040</v>
          </cell>
          <cell r="B60" t="str">
            <v>PLACA VIBRATORIA</v>
          </cell>
          <cell r="C60" t="str">
            <v>DIA</v>
          </cell>
          <cell r="D60">
            <v>19706.400000000005</v>
          </cell>
          <cell r="E60">
            <v>36486</v>
          </cell>
        </row>
        <row r="61">
          <cell r="A61" t="str">
            <v>E050</v>
          </cell>
          <cell r="B61" t="str">
            <v>MEZCLADORA 1 SACO ELECTRICA</v>
          </cell>
          <cell r="C61" t="str">
            <v>DIA</v>
          </cell>
          <cell r="D61">
            <v>12612.096000000001</v>
          </cell>
          <cell r="E61">
            <v>36486</v>
          </cell>
        </row>
        <row r="62">
          <cell r="A62" t="str">
            <v>E060</v>
          </cell>
          <cell r="B62" t="str">
            <v>VIBRADOR ELECTRICO</v>
          </cell>
          <cell r="C62" t="str">
            <v>DIA</v>
          </cell>
          <cell r="D62">
            <v>18635.400000000001</v>
          </cell>
          <cell r="E62">
            <v>36486</v>
          </cell>
        </row>
        <row r="63">
          <cell r="A63" t="str">
            <v>E070</v>
          </cell>
          <cell r="B63" t="str">
            <v>TRANSITO</v>
          </cell>
          <cell r="C63" t="str">
            <v>DIA</v>
          </cell>
          <cell r="D63">
            <v>26275.200000000004</v>
          </cell>
          <cell r="E63">
            <v>36486</v>
          </cell>
        </row>
        <row r="64">
          <cell r="A64" t="str">
            <v>E080</v>
          </cell>
          <cell r="B64" t="str">
            <v>NIVEL DE PRECISION</v>
          </cell>
          <cell r="C64" t="str">
            <v>DIA</v>
          </cell>
          <cell r="D64">
            <v>19706.400000000005</v>
          </cell>
          <cell r="E64">
            <v>36486</v>
          </cell>
        </row>
        <row r="65">
          <cell r="A65" t="str">
            <v>E090</v>
          </cell>
          <cell r="B65" t="str">
            <v>SOLDADOR ELECTRICO</v>
          </cell>
          <cell r="C65" t="str">
            <v>DIA</v>
          </cell>
          <cell r="D65">
            <v>10710</v>
          </cell>
          <cell r="E65">
            <v>36486</v>
          </cell>
        </row>
        <row r="66">
          <cell r="A66" t="str">
            <v>E100</v>
          </cell>
          <cell r="B66" t="str">
            <v>EQUIPO DE AUTOGENA PARA CORTES TUBERIA</v>
          </cell>
          <cell r="C66" t="str">
            <v>DIA</v>
          </cell>
          <cell r="D66">
            <v>6907.95</v>
          </cell>
          <cell r="E66">
            <v>36486</v>
          </cell>
        </row>
        <row r="67">
          <cell r="A67" t="str">
            <v>E110</v>
          </cell>
          <cell r="B67" t="str">
            <v>HERRAMIENTA MENOR</v>
          </cell>
          <cell r="C67" t="str">
            <v>SG</v>
          </cell>
          <cell r="D67">
            <v>0</v>
          </cell>
          <cell r="E67">
            <v>36486</v>
          </cell>
        </row>
        <row r="68">
          <cell r="A68" t="str">
            <v>CODIGO</v>
          </cell>
          <cell r="B68" t="str">
            <v>RECURSO</v>
          </cell>
          <cell r="C68" t="str">
            <v>UN</v>
          </cell>
          <cell r="D68" t="str">
            <v>V/UNITARIO</v>
          </cell>
        </row>
        <row r="69">
          <cell r="B69" t="str">
            <v>TRANSPORTE</v>
          </cell>
        </row>
        <row r="70">
          <cell r="A70" t="str">
            <v>T010</v>
          </cell>
          <cell r="B70" t="str">
            <v>VOLQUETAS DE 5M3</v>
          </cell>
          <cell r="C70" t="str">
            <v>M3</v>
          </cell>
          <cell r="D70">
            <v>36556.800000000003</v>
          </cell>
          <cell r="E70">
            <v>36486</v>
          </cell>
        </row>
        <row r="71">
          <cell r="A71" t="str">
            <v>T020</v>
          </cell>
          <cell r="B71" t="str">
            <v>TRANSPORTE INTERNO</v>
          </cell>
          <cell r="C71" t="str">
            <v>HR</v>
          </cell>
          <cell r="D71">
            <v>22848.000000000004</v>
          </cell>
          <cell r="E71">
            <v>36486</v>
          </cell>
        </row>
        <row r="72">
          <cell r="A72" t="str">
            <v>CODIGO</v>
          </cell>
          <cell r="B72" t="str">
            <v>RECURSO</v>
          </cell>
          <cell r="C72" t="str">
            <v>UN</v>
          </cell>
          <cell r="D72" t="str">
            <v>V/UNITARIO</v>
          </cell>
        </row>
        <row r="73">
          <cell r="B73" t="str">
            <v>MANO DE OBRA</v>
          </cell>
        </row>
        <row r="74">
          <cell r="A74" t="str">
            <v>O010</v>
          </cell>
          <cell r="B74" t="str">
            <v>ENCARGADO</v>
          </cell>
          <cell r="C74" t="str">
            <v>DIA</v>
          </cell>
          <cell r="D74">
            <v>95117.137920000008</v>
          </cell>
          <cell r="E74">
            <v>36486</v>
          </cell>
        </row>
        <row r="75">
          <cell r="A75" t="str">
            <v>O020</v>
          </cell>
          <cell r="B75" t="str">
            <v>OFICIAL</v>
          </cell>
          <cell r="C75" t="str">
            <v>DIA</v>
          </cell>
          <cell r="D75">
            <v>50608.228608000012</v>
          </cell>
          <cell r="E75">
            <v>36486</v>
          </cell>
        </row>
        <row r="76">
          <cell r="A76" t="str">
            <v>O030</v>
          </cell>
          <cell r="B76" t="str">
            <v xml:space="preserve">AYUDANTE </v>
          </cell>
          <cell r="C76" t="str">
            <v>DIA</v>
          </cell>
          <cell r="D76">
            <v>20796.797952000008</v>
          </cell>
          <cell r="E76">
            <v>36486</v>
          </cell>
        </row>
        <row r="77">
          <cell r="A77" t="str">
            <v>O040</v>
          </cell>
          <cell r="B77" t="str">
            <v>TOPOGRAFO</v>
          </cell>
          <cell r="C77" t="str">
            <v>DIA</v>
          </cell>
          <cell r="D77">
            <v>25055.573760000003</v>
          </cell>
          <cell r="E77">
            <v>36486</v>
          </cell>
        </row>
        <row r="78">
          <cell r="A78" t="str">
            <v>O050</v>
          </cell>
          <cell r="B78" t="str">
            <v>CADENERO</v>
          </cell>
          <cell r="C78" t="str">
            <v>DIA</v>
          </cell>
          <cell r="D78">
            <v>25055.708106240007</v>
          </cell>
          <cell r="E78">
            <v>36486</v>
          </cell>
        </row>
        <row r="79">
          <cell r="A79" t="str">
            <v>O060</v>
          </cell>
          <cell r="B79" t="str">
            <v>MINERO</v>
          </cell>
          <cell r="C79" t="str">
            <v>DIA</v>
          </cell>
          <cell r="D79">
            <v>36192.877056000012</v>
          </cell>
          <cell r="E79">
            <v>36486</v>
          </cell>
        </row>
        <row r="80">
          <cell r="A80" t="str">
            <v>O061</v>
          </cell>
          <cell r="B80" t="str">
            <v>ALMACENISTA Y TESORERO</v>
          </cell>
          <cell r="C80" t="str">
            <v>DIA</v>
          </cell>
          <cell r="D80">
            <v>73874.310451200014</v>
          </cell>
          <cell r="E80">
            <v>36486</v>
          </cell>
        </row>
      </sheetData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-Feb"/>
      <sheetName val="Mar-Abr"/>
      <sheetName val="May-Jun"/>
      <sheetName val="Jul-Ago"/>
      <sheetName val="Sep-Oct"/>
      <sheetName val="Ene-Oct EEPPM"/>
      <sheetName val="May-Oct Contrato"/>
      <sheetName val="Ene-Oct_EEPPM"/>
      <sheetName val="May-Oct_Contrato"/>
      <sheetName val="Ene-Oct_EEPPM1"/>
      <sheetName val="May-Oct_Contrato1"/>
      <sheetName val="Ene-Oct_EEPPM5"/>
      <sheetName val="May-Oct_Contrato5"/>
      <sheetName val="Ene-Oct_EEPPM2"/>
      <sheetName val="May-Oct_Contrato2"/>
      <sheetName val="Ene-Oct_EEPPM3"/>
      <sheetName val="May-Oct_Contrato3"/>
      <sheetName val="Ene-Oct_EEPPM4"/>
      <sheetName val="May-Oct_Contrato4"/>
      <sheetName val="Ene-Oct_EEPPM6"/>
      <sheetName val="May-Oct_Contrato6"/>
    </sheetNames>
    <sheetDataSet>
      <sheetData sheetId="0" refreshError="1"/>
      <sheetData sheetId="1" refreshError="1"/>
      <sheetData sheetId="2" refreshError="1">
        <row r="33">
          <cell r="A33" t="str">
            <v>CAMBIO ACOMETIDAS CONTRATO</v>
          </cell>
          <cell r="B33">
            <v>259</v>
          </cell>
          <cell r="C33">
            <v>16</v>
          </cell>
          <cell r="D33">
            <v>3</v>
          </cell>
          <cell r="E33">
            <v>40</v>
          </cell>
          <cell r="F33">
            <v>2.2000000000000002</v>
          </cell>
          <cell r="G33">
            <v>2.2999999999999998</v>
          </cell>
          <cell r="H33">
            <v>5.8181818181818182E-2</v>
          </cell>
        </row>
        <row r="34">
          <cell r="A34" t="str">
            <v>CASAS SIN AGUA</v>
          </cell>
          <cell r="B34">
            <v>2</v>
          </cell>
          <cell r="C34">
            <v>4</v>
          </cell>
          <cell r="E34">
            <v>40</v>
          </cell>
          <cell r="F34" t="str">
            <v/>
          </cell>
          <cell r="G34" t="str">
            <v/>
          </cell>
          <cell r="H34">
            <v>0.66666666666666663</v>
          </cell>
        </row>
        <row r="35">
          <cell r="A35" t="str">
            <v>CORTE Y RECONEXION</v>
          </cell>
          <cell r="B35">
            <v>673</v>
          </cell>
          <cell r="C35">
            <v>58</v>
          </cell>
          <cell r="D35">
            <v>1</v>
          </cell>
          <cell r="E35">
            <v>40</v>
          </cell>
          <cell r="F35">
            <v>16.8</v>
          </cell>
          <cell r="G35">
            <v>18.3</v>
          </cell>
          <cell r="H35">
            <v>7.9343365253077974E-2</v>
          </cell>
        </row>
        <row r="36">
          <cell r="A36" t="str">
            <v>DAÑOS ACUEDUCTO</v>
          </cell>
          <cell r="B36">
            <v>8</v>
          </cell>
          <cell r="C36">
            <v>0</v>
          </cell>
          <cell r="E36">
            <v>40</v>
          </cell>
          <cell r="F36" t="str">
            <v/>
          </cell>
          <cell r="G36" t="str">
            <v/>
          </cell>
          <cell r="H36">
            <v>0</v>
          </cell>
        </row>
        <row r="37">
          <cell r="A37" t="str">
            <v>ESCOMBROS DAÑOS ACUEDUCTO</v>
          </cell>
          <cell r="B37">
            <v>10</v>
          </cell>
          <cell r="C37">
            <v>0</v>
          </cell>
          <cell r="E37">
            <v>40</v>
          </cell>
          <cell r="F37" t="str">
            <v/>
          </cell>
          <cell r="G37" t="str">
            <v/>
          </cell>
          <cell r="H37">
            <v>0</v>
          </cell>
        </row>
        <row r="38">
          <cell r="A38" t="str">
            <v>FRAUDES</v>
          </cell>
          <cell r="B38">
            <v>4</v>
          </cell>
          <cell r="C38">
            <v>3</v>
          </cell>
          <cell r="E38">
            <v>40</v>
          </cell>
          <cell r="F38" t="str">
            <v/>
          </cell>
          <cell r="G38" t="str">
            <v/>
          </cell>
          <cell r="H38">
            <v>0.42857142857142855</v>
          </cell>
        </row>
        <row r="39">
          <cell r="A39" t="str">
            <v>GARANTIAS INSTALACIONES</v>
          </cell>
          <cell r="B39">
            <v>96</v>
          </cell>
          <cell r="C39">
            <v>7</v>
          </cell>
          <cell r="D39">
            <v>1</v>
          </cell>
          <cell r="E39">
            <v>40</v>
          </cell>
          <cell r="F39">
            <v>2.4</v>
          </cell>
          <cell r="G39">
            <v>2.6</v>
          </cell>
          <cell r="H39">
            <v>6.7961165048543687E-2</v>
          </cell>
        </row>
        <row r="40">
          <cell r="A40" t="str">
            <v>INSTALACIONES ACUEDUCTO</v>
          </cell>
          <cell r="B40">
            <v>928</v>
          </cell>
          <cell r="C40">
            <v>131</v>
          </cell>
          <cell r="D40">
            <v>5</v>
          </cell>
          <cell r="E40">
            <v>40</v>
          </cell>
          <cell r="F40">
            <v>4.5999999999999996</v>
          </cell>
          <cell r="G40">
            <v>5.3</v>
          </cell>
          <cell r="H40">
            <v>0.12370160528800755</v>
          </cell>
        </row>
        <row r="41">
          <cell r="A41" t="str">
            <v>INSTALACIONES ALCANTARILLADO</v>
          </cell>
          <cell r="B41">
            <v>59</v>
          </cell>
          <cell r="C41">
            <v>0</v>
          </cell>
          <cell r="D41">
            <v>4</v>
          </cell>
          <cell r="E41">
            <v>40</v>
          </cell>
          <cell r="F41">
            <v>0.4</v>
          </cell>
          <cell r="G41">
            <v>0.4</v>
          </cell>
          <cell r="H41">
            <v>0</v>
          </cell>
        </row>
        <row r="42">
          <cell r="A42" t="str">
            <v>MEDIDORES 1/2 Y 1"</v>
          </cell>
          <cell r="B42">
            <v>622</v>
          </cell>
          <cell r="C42">
            <v>9</v>
          </cell>
          <cell r="D42">
            <v>2.5</v>
          </cell>
          <cell r="E42">
            <v>40</v>
          </cell>
          <cell r="F42">
            <v>6.2</v>
          </cell>
          <cell r="G42">
            <v>6.3</v>
          </cell>
          <cell r="H42">
            <v>1.4263074484944533E-2</v>
          </cell>
        </row>
        <row r="43">
          <cell r="A43" t="str">
            <v>MMTO VALVULAS E HIDRANTES</v>
          </cell>
          <cell r="B43">
            <v>256</v>
          </cell>
          <cell r="C43">
            <v>0</v>
          </cell>
          <cell r="D43">
            <v>3</v>
          </cell>
          <cell r="E43">
            <v>40</v>
          </cell>
          <cell r="F43">
            <v>2.1</v>
          </cell>
          <cell r="G43">
            <v>2.1</v>
          </cell>
          <cell r="H43">
            <v>0</v>
          </cell>
        </row>
        <row r="44">
          <cell r="A44" t="str">
            <v>OBRAS ACCESORIAS DAÑOS ACUEDUCTO</v>
          </cell>
          <cell r="B44">
            <v>289</v>
          </cell>
          <cell r="C44">
            <v>24</v>
          </cell>
          <cell r="D44">
            <v>3</v>
          </cell>
          <cell r="E44">
            <v>40</v>
          </cell>
          <cell r="F44">
            <v>2.4</v>
          </cell>
          <cell r="G44">
            <v>2.6</v>
          </cell>
          <cell r="H44">
            <v>7.6677316293929709E-2</v>
          </cell>
        </row>
        <row r="45">
          <cell r="A45" t="str">
            <v>OBRAS ACCESORIAS INSTALACIONES</v>
          </cell>
          <cell r="B45">
            <v>1125</v>
          </cell>
          <cell r="C45">
            <v>0</v>
          </cell>
          <cell r="D45">
            <v>3.5</v>
          </cell>
          <cell r="E45">
            <v>40</v>
          </cell>
          <cell r="F45">
            <v>8</v>
          </cell>
          <cell r="G45">
            <v>8</v>
          </cell>
          <cell r="H45">
            <v>0</v>
          </cell>
        </row>
        <row r="46">
          <cell r="A46" t="str">
            <v>PROYECTOS ACUEDUCTO</v>
          </cell>
          <cell r="B46">
            <v>2</v>
          </cell>
          <cell r="C46">
            <v>0</v>
          </cell>
          <cell r="E46">
            <v>40</v>
          </cell>
          <cell r="F46" t="str">
            <v/>
          </cell>
          <cell r="G46" t="str">
            <v/>
          </cell>
          <cell r="H46">
            <v>0</v>
          </cell>
        </row>
        <row r="47">
          <cell r="A47" t="str">
            <v>REFERENCIACIÓN ACUEDUCTO</v>
          </cell>
          <cell r="B47">
            <v>7</v>
          </cell>
          <cell r="C47">
            <v>1</v>
          </cell>
          <cell r="E47">
            <v>40</v>
          </cell>
          <cell r="F47" t="str">
            <v/>
          </cell>
          <cell r="G47" t="str">
            <v/>
          </cell>
          <cell r="H47">
            <v>0.125</v>
          </cell>
        </row>
        <row r="48">
          <cell r="A48" t="str">
            <v>REPARACION CAJAS DE MEDIDORES</v>
          </cell>
          <cell r="B48">
            <v>8</v>
          </cell>
          <cell r="C48">
            <v>0</v>
          </cell>
          <cell r="E48">
            <v>40</v>
          </cell>
          <cell r="F48" t="str">
            <v/>
          </cell>
          <cell r="G48" t="str">
            <v/>
          </cell>
          <cell r="H48">
            <v>0</v>
          </cell>
        </row>
        <row r="49">
          <cell r="A49" t="str">
            <v>TRASLADO MEDIDOR</v>
          </cell>
          <cell r="B49">
            <v>2</v>
          </cell>
          <cell r="C49">
            <v>0</v>
          </cell>
          <cell r="D49">
            <v>1</v>
          </cell>
          <cell r="E49">
            <v>40</v>
          </cell>
          <cell r="F49">
            <v>0.1</v>
          </cell>
          <cell r="G49">
            <v>0.1</v>
          </cell>
          <cell r="H49">
            <v>0</v>
          </cell>
        </row>
        <row r="51">
          <cell r="A51" t="str">
            <v>Total general</v>
          </cell>
          <cell r="B51">
            <v>4350</v>
          </cell>
          <cell r="C51">
            <v>253</v>
          </cell>
          <cell r="F51" t="str">
            <v/>
          </cell>
          <cell r="G51" t="str">
            <v/>
          </cell>
          <cell r="H51">
            <v>5.4964153812730829E-2</v>
          </cell>
        </row>
        <row r="52">
          <cell r="F52" t="str">
            <v/>
          </cell>
          <cell r="G52" t="str">
            <v/>
          </cell>
          <cell r="H52" t="str">
            <v/>
          </cell>
        </row>
      </sheetData>
      <sheetData sheetId="3" refreshError="1">
        <row r="30">
          <cell r="A30" t="str">
            <v>CAMBIO ACOMETIDAS CONTRATO</v>
          </cell>
          <cell r="B30">
            <v>287</v>
          </cell>
          <cell r="C30">
            <v>4</v>
          </cell>
          <cell r="D30">
            <v>3</v>
          </cell>
          <cell r="E30">
            <v>41</v>
          </cell>
          <cell r="F30">
            <v>2.2999999999999998</v>
          </cell>
          <cell r="G30">
            <v>2.4</v>
          </cell>
          <cell r="H30">
            <v>1.3745704467353952E-2</v>
          </cell>
        </row>
        <row r="31">
          <cell r="A31" t="str">
            <v>CASAS SIN AGUA</v>
          </cell>
          <cell r="B31">
            <v>6</v>
          </cell>
          <cell r="C31">
            <v>1</v>
          </cell>
          <cell r="E31">
            <v>41</v>
          </cell>
          <cell r="F31" t="str">
            <v/>
          </cell>
          <cell r="G31" t="str">
            <v/>
          </cell>
          <cell r="H31">
            <v>0.14285714285714285</v>
          </cell>
        </row>
        <row r="32">
          <cell r="A32" t="str">
            <v>CORTE Y RECONEXION</v>
          </cell>
          <cell r="B32">
            <v>741</v>
          </cell>
          <cell r="C32">
            <v>10</v>
          </cell>
          <cell r="D32">
            <v>1</v>
          </cell>
          <cell r="E32">
            <v>41</v>
          </cell>
          <cell r="F32">
            <v>18.100000000000001</v>
          </cell>
          <cell r="G32">
            <v>18.3</v>
          </cell>
          <cell r="H32">
            <v>1.3315579227696404E-2</v>
          </cell>
        </row>
        <row r="33">
          <cell r="A33" t="str">
            <v>DAÑOS ACUEDUCTO</v>
          </cell>
          <cell r="B33">
            <v>15</v>
          </cell>
          <cell r="C33">
            <v>0</v>
          </cell>
          <cell r="E33">
            <v>41</v>
          </cell>
          <cell r="F33" t="str">
            <v/>
          </cell>
          <cell r="G33" t="str">
            <v/>
          </cell>
          <cell r="H33">
            <v>0</v>
          </cell>
        </row>
        <row r="34">
          <cell r="A34" t="str">
            <v>FRAUDES</v>
          </cell>
          <cell r="B34">
            <v>8</v>
          </cell>
          <cell r="C34">
            <v>5</v>
          </cell>
          <cell r="E34">
            <v>41</v>
          </cell>
          <cell r="F34" t="str">
            <v/>
          </cell>
          <cell r="G34" t="str">
            <v/>
          </cell>
          <cell r="H34">
            <v>0.38461538461538464</v>
          </cell>
        </row>
        <row r="35">
          <cell r="A35" t="str">
            <v>GARANTIAS INSTALACIONES</v>
          </cell>
          <cell r="B35">
            <v>60</v>
          </cell>
          <cell r="C35">
            <v>5</v>
          </cell>
          <cell r="D35">
            <v>1</v>
          </cell>
          <cell r="E35">
            <v>41</v>
          </cell>
          <cell r="F35">
            <v>1.5</v>
          </cell>
          <cell r="G35">
            <v>1.6</v>
          </cell>
          <cell r="H35">
            <v>7.6923076923076927E-2</v>
          </cell>
        </row>
        <row r="36">
          <cell r="A36" t="str">
            <v>INSTALACIONES ACUEDUCTO</v>
          </cell>
          <cell r="B36">
            <v>949</v>
          </cell>
          <cell r="C36">
            <v>55</v>
          </cell>
          <cell r="D36">
            <v>5</v>
          </cell>
          <cell r="E36">
            <v>41</v>
          </cell>
          <cell r="F36">
            <v>4.5999999999999996</v>
          </cell>
          <cell r="G36">
            <v>4.9000000000000004</v>
          </cell>
          <cell r="H36">
            <v>5.4780876494023904E-2</v>
          </cell>
        </row>
        <row r="37">
          <cell r="A37" t="str">
            <v>INSTALACIONES ALCANTARILLADO</v>
          </cell>
          <cell r="B37">
            <v>7</v>
          </cell>
          <cell r="C37">
            <v>0</v>
          </cell>
          <cell r="D37">
            <v>4</v>
          </cell>
          <cell r="E37">
            <v>41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MEDIDORES 1/2 Y 1"</v>
          </cell>
          <cell r="B38">
            <v>1375</v>
          </cell>
          <cell r="C38">
            <v>1</v>
          </cell>
          <cell r="D38">
            <v>3.5</v>
          </cell>
          <cell r="E38">
            <v>41</v>
          </cell>
          <cell r="F38">
            <v>9.6</v>
          </cell>
          <cell r="G38">
            <v>9.6</v>
          </cell>
          <cell r="H38">
            <v>7.2674418604651162E-4</v>
          </cell>
        </row>
        <row r="39">
          <cell r="A39" t="str">
            <v>MMTO VALVULAS E HIDRANTES</v>
          </cell>
          <cell r="B39">
            <v>114</v>
          </cell>
          <cell r="C39">
            <v>0</v>
          </cell>
          <cell r="D39">
            <v>3</v>
          </cell>
          <cell r="E39">
            <v>41</v>
          </cell>
          <cell r="F39">
            <v>0.9</v>
          </cell>
          <cell r="G39">
            <v>0.9</v>
          </cell>
          <cell r="H39">
            <v>0</v>
          </cell>
        </row>
        <row r="40">
          <cell r="A40" t="str">
            <v>OBRAS ACCESORIAS DAÑOS ACUEDUCTO</v>
          </cell>
          <cell r="B40">
            <v>150</v>
          </cell>
          <cell r="C40">
            <v>0</v>
          </cell>
          <cell r="D40">
            <v>3</v>
          </cell>
          <cell r="E40">
            <v>41</v>
          </cell>
          <cell r="F40">
            <v>1.2</v>
          </cell>
          <cell r="G40">
            <v>1.2</v>
          </cell>
          <cell r="H40">
            <v>0</v>
          </cell>
        </row>
        <row r="41">
          <cell r="A41" t="str">
            <v>OBRAS ACCESORIAS INSTALACIONES</v>
          </cell>
          <cell r="B41">
            <v>1230</v>
          </cell>
          <cell r="C41">
            <v>0</v>
          </cell>
          <cell r="D41">
            <v>2.5</v>
          </cell>
          <cell r="E41">
            <v>41</v>
          </cell>
          <cell r="F41">
            <v>12</v>
          </cell>
          <cell r="G41">
            <v>12</v>
          </cell>
          <cell r="H41">
            <v>0</v>
          </cell>
        </row>
        <row r="42">
          <cell r="A42" t="str">
            <v>PROYECTOS ACUEDUCTO</v>
          </cell>
          <cell r="B42">
            <v>91</v>
          </cell>
          <cell r="C42">
            <v>17</v>
          </cell>
          <cell r="E42">
            <v>41</v>
          </cell>
          <cell r="F42" t="str">
            <v/>
          </cell>
          <cell r="G42" t="str">
            <v/>
          </cell>
          <cell r="H42">
            <v>0.15740740740740741</v>
          </cell>
        </row>
        <row r="44">
          <cell r="A44" t="str">
            <v>Total general</v>
          </cell>
          <cell r="B44">
            <v>5033</v>
          </cell>
          <cell r="C44">
            <v>98</v>
          </cell>
          <cell r="F44" t="str">
            <v/>
          </cell>
          <cell r="G44" t="str">
            <v/>
          </cell>
          <cell r="H44">
            <v>1.9099590723055934E-2</v>
          </cell>
        </row>
        <row r="45">
          <cell r="F45" t="str">
            <v/>
          </cell>
          <cell r="G45" t="str">
            <v/>
          </cell>
          <cell r="H45" t="str">
            <v/>
          </cell>
        </row>
      </sheetData>
      <sheetData sheetId="4" refreshError="1">
        <row r="31">
          <cell r="A31" t="str">
            <v>CAMBIO ACOMETIDAS CONTRATO</v>
          </cell>
          <cell r="B31">
            <v>361</v>
          </cell>
          <cell r="C31">
            <v>4</v>
          </cell>
          <cell r="D31">
            <v>3</v>
          </cell>
          <cell r="E31">
            <v>42</v>
          </cell>
          <cell r="F31">
            <v>2.9</v>
          </cell>
          <cell r="G31">
            <v>2.9</v>
          </cell>
          <cell r="H31">
            <v>1.0958904109589041E-2</v>
          </cell>
        </row>
        <row r="32">
          <cell r="A32" t="str">
            <v>CASAS SIN AGUA</v>
          </cell>
          <cell r="B32">
            <v>7</v>
          </cell>
          <cell r="C32">
            <v>0</v>
          </cell>
          <cell r="E32">
            <v>42</v>
          </cell>
          <cell r="F32" t="str">
            <v/>
          </cell>
          <cell r="G32" t="str">
            <v/>
          </cell>
          <cell r="H32">
            <v>0</v>
          </cell>
        </row>
        <row r="33">
          <cell r="A33" t="str">
            <v>CORTE Y RECONEXION</v>
          </cell>
          <cell r="B33">
            <v>825</v>
          </cell>
          <cell r="C33">
            <v>12</v>
          </cell>
          <cell r="D33">
            <v>1</v>
          </cell>
          <cell r="E33">
            <v>42</v>
          </cell>
          <cell r="F33">
            <v>19.600000000000001</v>
          </cell>
          <cell r="G33">
            <v>19.899999999999999</v>
          </cell>
          <cell r="H33">
            <v>1.4336917562724014E-2</v>
          </cell>
        </row>
        <row r="34">
          <cell r="A34" t="str">
            <v>DAÑOS ACUEDUCTO</v>
          </cell>
          <cell r="B34">
            <v>20</v>
          </cell>
          <cell r="C34">
            <v>0</v>
          </cell>
          <cell r="E34">
            <v>42</v>
          </cell>
          <cell r="F34" t="str">
            <v/>
          </cell>
          <cell r="G34" t="str">
            <v/>
          </cell>
          <cell r="H34">
            <v>0</v>
          </cell>
        </row>
        <row r="35">
          <cell r="A35" t="str">
            <v>FRAUDES</v>
          </cell>
          <cell r="B35">
            <v>35</v>
          </cell>
          <cell r="C35">
            <v>0</v>
          </cell>
          <cell r="E35">
            <v>42</v>
          </cell>
          <cell r="F35" t="str">
            <v/>
          </cell>
          <cell r="G35" t="str">
            <v/>
          </cell>
          <cell r="H35">
            <v>0</v>
          </cell>
        </row>
        <row r="36">
          <cell r="A36" t="str">
            <v>GARANTIAS INSTALACIONES</v>
          </cell>
          <cell r="B36">
            <v>88</v>
          </cell>
          <cell r="C36">
            <v>4</v>
          </cell>
          <cell r="D36">
            <v>1</v>
          </cell>
          <cell r="E36">
            <v>42</v>
          </cell>
          <cell r="F36">
            <v>2.1</v>
          </cell>
          <cell r="G36">
            <v>2.2000000000000002</v>
          </cell>
          <cell r="H36">
            <v>4.3478260869565216E-2</v>
          </cell>
        </row>
        <row r="37">
          <cell r="A37" t="str">
            <v>INSTALACIONES ACUEDUCTO</v>
          </cell>
          <cell r="B37">
            <v>828</v>
          </cell>
          <cell r="C37">
            <v>82</v>
          </cell>
          <cell r="D37">
            <v>5</v>
          </cell>
          <cell r="E37">
            <v>42</v>
          </cell>
          <cell r="F37">
            <v>3.9</v>
          </cell>
          <cell r="G37">
            <v>4.3</v>
          </cell>
          <cell r="H37">
            <v>9.0109890109890109E-2</v>
          </cell>
        </row>
        <row r="38">
          <cell r="A38" t="str">
            <v>MEDIDORES 1/2 Y 1"</v>
          </cell>
          <cell r="B38">
            <v>578</v>
          </cell>
          <cell r="C38">
            <v>6</v>
          </cell>
          <cell r="D38">
            <v>3.5</v>
          </cell>
          <cell r="E38">
            <v>42</v>
          </cell>
          <cell r="F38">
            <v>3.9</v>
          </cell>
          <cell r="G38">
            <v>4</v>
          </cell>
          <cell r="H38">
            <v>1.0273972602739725E-2</v>
          </cell>
        </row>
        <row r="39">
          <cell r="A39" t="str">
            <v>MMTO VALVULAS E HIDRANTES</v>
          </cell>
          <cell r="B39">
            <v>563</v>
          </cell>
          <cell r="C39">
            <v>0</v>
          </cell>
          <cell r="D39">
            <v>3</v>
          </cell>
          <cell r="E39">
            <v>42</v>
          </cell>
          <cell r="F39">
            <v>4.5</v>
          </cell>
          <cell r="G39">
            <v>4.5</v>
          </cell>
          <cell r="H39">
            <v>0</v>
          </cell>
        </row>
        <row r="40">
          <cell r="A40" t="str">
            <v>OBRAS ACCESORIAS DAÑOS ACUEDUCTO</v>
          </cell>
          <cell r="B40">
            <v>60</v>
          </cell>
          <cell r="C40">
            <v>1</v>
          </cell>
          <cell r="D40">
            <v>3</v>
          </cell>
          <cell r="E40">
            <v>42</v>
          </cell>
          <cell r="F40">
            <v>0.5</v>
          </cell>
          <cell r="G40">
            <v>0.5</v>
          </cell>
          <cell r="H40">
            <v>1.6393442622950821E-2</v>
          </cell>
        </row>
        <row r="41">
          <cell r="A41" t="str">
            <v>OBRAS ACCESORIAS INSTALACIONES</v>
          </cell>
          <cell r="B41">
            <v>929</v>
          </cell>
          <cell r="C41">
            <v>0</v>
          </cell>
          <cell r="D41">
            <v>2.5</v>
          </cell>
          <cell r="E41">
            <v>42</v>
          </cell>
          <cell r="F41">
            <v>8.8000000000000007</v>
          </cell>
          <cell r="G41">
            <v>8.8000000000000007</v>
          </cell>
          <cell r="H41">
            <v>0</v>
          </cell>
        </row>
        <row r="42">
          <cell r="A42" t="str">
            <v>PROYECTOS ACUEDUCTO</v>
          </cell>
          <cell r="B42">
            <v>2</v>
          </cell>
          <cell r="C42">
            <v>0</v>
          </cell>
          <cell r="E42">
            <v>42</v>
          </cell>
          <cell r="F42" t="str">
            <v/>
          </cell>
          <cell r="G42" t="str">
            <v/>
          </cell>
          <cell r="H42">
            <v>0</v>
          </cell>
        </row>
        <row r="44">
          <cell r="A44" t="str">
            <v>Total general</v>
          </cell>
          <cell r="B44">
            <v>4296</v>
          </cell>
          <cell r="C44">
            <v>109</v>
          </cell>
          <cell r="F44" t="str">
            <v/>
          </cell>
          <cell r="G44" t="str">
            <v/>
          </cell>
          <cell r="H44">
            <v>2.474460839954597E-2</v>
          </cell>
        </row>
        <row r="45">
          <cell r="F45" t="str">
            <v/>
          </cell>
          <cell r="G45" t="str">
            <v/>
          </cell>
          <cell r="H45" t="str">
            <v/>
          </cell>
        </row>
      </sheetData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ES"/>
      <sheetName val="T133-134"/>
      <sheetName val="T132-133"/>
      <sheetName val="T130-131"/>
    </sheetNames>
    <sheetDataSet>
      <sheetData sheetId="0">
        <row r="11">
          <cell r="D11" t="str">
            <v>m3</v>
          </cell>
        </row>
        <row r="13">
          <cell r="D13" t="str">
            <v>m3</v>
          </cell>
        </row>
        <row r="15">
          <cell r="D15" t="str">
            <v>m2</v>
          </cell>
        </row>
        <row r="17">
          <cell r="D17" t="str">
            <v>m</v>
          </cell>
        </row>
        <row r="19">
          <cell r="D19" t="str">
            <v/>
          </cell>
        </row>
        <row r="21">
          <cell r="D21" t="str">
            <v xml:space="preserve"> m3</v>
          </cell>
        </row>
        <row r="23">
          <cell r="D23" t="str">
            <v xml:space="preserve"> m3</v>
          </cell>
        </row>
        <row r="25">
          <cell r="D25" t="str">
            <v xml:space="preserve"> m3</v>
          </cell>
        </row>
        <row r="27">
          <cell r="D27" t="str">
            <v xml:space="preserve"> m3</v>
          </cell>
        </row>
        <row r="29">
          <cell r="D29" t="str">
            <v>un</v>
          </cell>
        </row>
        <row r="31">
          <cell r="D31" t="str">
            <v xml:space="preserve"> m3</v>
          </cell>
        </row>
        <row r="33">
          <cell r="D33" t="str">
            <v>un</v>
          </cell>
        </row>
        <row r="37">
          <cell r="D37" t="str">
            <v>m3</v>
          </cell>
        </row>
        <row r="39">
          <cell r="D39" t="str">
            <v>m3</v>
          </cell>
        </row>
        <row r="41">
          <cell r="D41" t="str">
            <v>m3</v>
          </cell>
        </row>
        <row r="45">
          <cell r="D45" t="str">
            <v>m2</v>
          </cell>
        </row>
        <row r="47">
          <cell r="D47" t="str">
            <v>m2</v>
          </cell>
        </row>
        <row r="49">
          <cell r="D49" t="str">
            <v>m2</v>
          </cell>
        </row>
        <row r="51">
          <cell r="D51" t="str">
            <v>m3</v>
          </cell>
        </row>
        <row r="55">
          <cell r="D55" t="str">
            <v>m3</v>
          </cell>
        </row>
        <row r="57">
          <cell r="D57" t="str">
            <v>m3</v>
          </cell>
        </row>
        <row r="59">
          <cell r="D59" t="str">
            <v>m3</v>
          </cell>
        </row>
        <row r="63">
          <cell r="D63" t="str">
            <v>m3</v>
          </cell>
        </row>
        <row r="65">
          <cell r="D65" t="str">
            <v>m3</v>
          </cell>
        </row>
        <row r="67">
          <cell r="D67" t="str">
            <v>m2</v>
          </cell>
        </row>
        <row r="71">
          <cell r="D71" t="str">
            <v>m2</v>
          </cell>
        </row>
        <row r="73">
          <cell r="D73" t="str">
            <v>m2</v>
          </cell>
        </row>
        <row r="75">
          <cell r="D75" t="str">
            <v>m2</v>
          </cell>
        </row>
        <row r="77">
          <cell r="D77" t="str">
            <v>m3</v>
          </cell>
        </row>
        <row r="79">
          <cell r="D79" t="str">
            <v>m3</v>
          </cell>
        </row>
        <row r="81">
          <cell r="D81" t="str">
            <v>m2</v>
          </cell>
        </row>
        <row r="85">
          <cell r="D85" t="str">
            <v>m2</v>
          </cell>
        </row>
        <row r="87">
          <cell r="D87" t="str">
            <v>m2</v>
          </cell>
        </row>
        <row r="91">
          <cell r="D91" t="str">
            <v>m3</v>
          </cell>
        </row>
        <row r="93">
          <cell r="D93" t="str">
            <v>m3</v>
          </cell>
        </row>
        <row r="95">
          <cell r="D95" t="str">
            <v>m3</v>
          </cell>
        </row>
        <row r="99">
          <cell r="D99" t="str">
            <v>m3</v>
          </cell>
        </row>
        <row r="101">
          <cell r="D101" t="str">
            <v>m3</v>
          </cell>
        </row>
        <row r="103">
          <cell r="D103" t="str">
            <v>m3</v>
          </cell>
        </row>
        <row r="105">
          <cell r="D105" t="str">
            <v>m3</v>
          </cell>
        </row>
        <row r="109">
          <cell r="D109" t="str">
            <v>Kg</v>
          </cell>
        </row>
        <row r="111">
          <cell r="D111" t="str">
            <v>Kg</v>
          </cell>
        </row>
        <row r="113">
          <cell r="D113" t="str">
            <v>un</v>
          </cell>
        </row>
        <row r="117">
          <cell r="D117" t="str">
            <v>un</v>
          </cell>
        </row>
        <row r="119">
          <cell r="D119" t="str">
            <v>un</v>
          </cell>
        </row>
        <row r="121">
          <cell r="D121" t="str">
            <v>un</v>
          </cell>
        </row>
        <row r="123">
          <cell r="D123" t="str">
            <v>un</v>
          </cell>
        </row>
        <row r="129">
          <cell r="D129" t="str">
            <v>m</v>
          </cell>
        </row>
        <row r="131">
          <cell r="D131" t="str">
            <v>m</v>
          </cell>
        </row>
        <row r="133">
          <cell r="D133" t="str">
            <v>m</v>
          </cell>
        </row>
        <row r="135">
          <cell r="D135" t="str">
            <v>m</v>
          </cell>
        </row>
        <row r="137">
          <cell r="D137" t="str">
            <v>m</v>
          </cell>
        </row>
        <row r="139">
          <cell r="D139" t="str">
            <v>m</v>
          </cell>
        </row>
        <row r="143">
          <cell r="D143" t="str">
            <v>m</v>
          </cell>
        </row>
        <row r="145">
          <cell r="D145" t="str">
            <v>m</v>
          </cell>
        </row>
        <row r="147">
          <cell r="D147" t="str">
            <v>m</v>
          </cell>
        </row>
        <row r="149">
          <cell r="D149" t="str">
            <v>m</v>
          </cell>
        </row>
        <row r="153">
          <cell r="D153" t="str">
            <v>m</v>
          </cell>
        </row>
        <row r="155">
          <cell r="D155" t="str">
            <v>m</v>
          </cell>
        </row>
        <row r="157">
          <cell r="D157" t="str">
            <v>m</v>
          </cell>
        </row>
        <row r="159">
          <cell r="D159" t="str">
            <v>m</v>
          </cell>
        </row>
        <row r="161">
          <cell r="D161" t="str">
            <v>m</v>
          </cell>
        </row>
        <row r="163">
          <cell r="D163" t="str">
            <v>m</v>
          </cell>
        </row>
        <row r="167">
          <cell r="D167" t="str">
            <v>m</v>
          </cell>
        </row>
        <row r="169">
          <cell r="D169" t="str">
            <v>m</v>
          </cell>
        </row>
        <row r="171">
          <cell r="D171" t="str">
            <v>m</v>
          </cell>
        </row>
        <row r="175">
          <cell r="D175" t="str">
            <v>m</v>
          </cell>
        </row>
        <row r="177">
          <cell r="D177" t="str">
            <v>m</v>
          </cell>
        </row>
        <row r="179">
          <cell r="D179" t="str">
            <v>m</v>
          </cell>
        </row>
        <row r="181">
          <cell r="D181" t="str">
            <v>m</v>
          </cell>
        </row>
        <row r="183">
          <cell r="D183" t="str">
            <v>m</v>
          </cell>
        </row>
        <row r="185">
          <cell r="D185" t="str">
            <v>m</v>
          </cell>
        </row>
        <row r="187">
          <cell r="D187" t="str">
            <v>m</v>
          </cell>
        </row>
        <row r="191">
          <cell r="D191" t="str">
            <v>m</v>
          </cell>
        </row>
        <row r="193">
          <cell r="D193" t="str">
            <v>m</v>
          </cell>
        </row>
        <row r="194">
          <cell r="D194" t="str">
            <v/>
          </cell>
        </row>
        <row r="197">
          <cell r="D197" t="str">
            <v>m</v>
          </cell>
        </row>
        <row r="199">
          <cell r="D199" t="str">
            <v>m</v>
          </cell>
        </row>
        <row r="201">
          <cell r="D201" t="str">
            <v>m</v>
          </cell>
        </row>
        <row r="205">
          <cell r="D205" t="str">
            <v>un</v>
          </cell>
        </row>
        <row r="207">
          <cell r="D207" t="str">
            <v>un</v>
          </cell>
        </row>
        <row r="209">
          <cell r="D209" t="str">
            <v>un</v>
          </cell>
        </row>
        <row r="211">
          <cell r="D211" t="str">
            <v>un</v>
          </cell>
        </row>
        <row r="213">
          <cell r="D213" t="str">
            <v>un</v>
          </cell>
        </row>
        <row r="219">
          <cell r="D219" t="str">
            <v>un</v>
          </cell>
        </row>
        <row r="221">
          <cell r="D221" t="str">
            <v>un</v>
          </cell>
        </row>
        <row r="223">
          <cell r="D223" t="str">
            <v>un</v>
          </cell>
        </row>
        <row r="225">
          <cell r="D225" t="str">
            <v>un</v>
          </cell>
        </row>
        <row r="227">
          <cell r="D227" t="str">
            <v>un</v>
          </cell>
        </row>
        <row r="229">
          <cell r="D229" t="str">
            <v>un</v>
          </cell>
        </row>
        <row r="233">
          <cell r="D233" t="str">
            <v>un</v>
          </cell>
        </row>
        <row r="235">
          <cell r="D235" t="str">
            <v>un</v>
          </cell>
        </row>
        <row r="237">
          <cell r="D237" t="str">
            <v>un</v>
          </cell>
        </row>
        <row r="239">
          <cell r="D239" t="str">
            <v>un</v>
          </cell>
        </row>
        <row r="243">
          <cell r="D243" t="str">
            <v>un</v>
          </cell>
        </row>
        <row r="245">
          <cell r="D245" t="str">
            <v>un</v>
          </cell>
        </row>
        <row r="249">
          <cell r="D249" t="str">
            <v>un</v>
          </cell>
        </row>
        <row r="251">
          <cell r="D251" t="str">
            <v>un</v>
          </cell>
        </row>
        <row r="255">
          <cell r="D255" t="str">
            <v>un</v>
          </cell>
        </row>
        <row r="257">
          <cell r="D257" t="str">
            <v>un</v>
          </cell>
        </row>
        <row r="259">
          <cell r="D259" t="str">
            <v>un</v>
          </cell>
        </row>
        <row r="261">
          <cell r="D261" t="str">
            <v>un</v>
          </cell>
        </row>
        <row r="263">
          <cell r="D263" t="str">
            <v>un</v>
          </cell>
        </row>
        <row r="265">
          <cell r="D265" t="str">
            <v>un</v>
          </cell>
        </row>
        <row r="269">
          <cell r="D269" t="str">
            <v>un</v>
          </cell>
        </row>
        <row r="271">
          <cell r="D271" t="str">
            <v>un</v>
          </cell>
        </row>
        <row r="273">
          <cell r="D273" t="str">
            <v>un</v>
          </cell>
        </row>
        <row r="275">
          <cell r="D275" t="str">
            <v>un</v>
          </cell>
        </row>
        <row r="277">
          <cell r="D277" t="str">
            <v>un</v>
          </cell>
        </row>
        <row r="279">
          <cell r="D279" t="str">
            <v>un</v>
          </cell>
        </row>
        <row r="283">
          <cell r="D283" t="str">
            <v>un</v>
          </cell>
        </row>
        <row r="285">
          <cell r="D285" t="str">
            <v>un</v>
          </cell>
        </row>
        <row r="287">
          <cell r="D287" t="str">
            <v>un</v>
          </cell>
        </row>
        <row r="289">
          <cell r="D289" t="str">
            <v>un</v>
          </cell>
        </row>
        <row r="291">
          <cell r="D291" t="str">
            <v>un</v>
          </cell>
        </row>
        <row r="293">
          <cell r="D293" t="str">
            <v>un</v>
          </cell>
        </row>
        <row r="297">
          <cell r="D297" t="str">
            <v>un</v>
          </cell>
        </row>
        <row r="299">
          <cell r="D299" t="str">
            <v>un</v>
          </cell>
        </row>
        <row r="301">
          <cell r="D301" t="str">
            <v>un</v>
          </cell>
        </row>
        <row r="303">
          <cell r="D303" t="str">
            <v>un</v>
          </cell>
        </row>
        <row r="305">
          <cell r="D305" t="str">
            <v>un</v>
          </cell>
        </row>
        <row r="307">
          <cell r="D307" t="str">
            <v>un</v>
          </cell>
        </row>
        <row r="309">
          <cell r="D309" t="str">
            <v>un</v>
          </cell>
        </row>
        <row r="311">
          <cell r="D311" t="str">
            <v>un</v>
          </cell>
        </row>
        <row r="313">
          <cell r="D313" t="str">
            <v>un</v>
          </cell>
        </row>
        <row r="317">
          <cell r="D317" t="str">
            <v>un</v>
          </cell>
        </row>
        <row r="319">
          <cell r="D319" t="str">
            <v>un</v>
          </cell>
        </row>
        <row r="321">
          <cell r="D321" t="str">
            <v>un</v>
          </cell>
        </row>
        <row r="323">
          <cell r="D323" t="str">
            <v>un</v>
          </cell>
        </row>
        <row r="325">
          <cell r="D325" t="str">
            <v>un</v>
          </cell>
        </row>
        <row r="327">
          <cell r="D327" t="str">
            <v>un</v>
          </cell>
        </row>
        <row r="331">
          <cell r="D331" t="str">
            <v>un</v>
          </cell>
        </row>
        <row r="333">
          <cell r="D333" t="str">
            <v>un</v>
          </cell>
        </row>
        <row r="335">
          <cell r="D335" t="str">
            <v>un</v>
          </cell>
        </row>
        <row r="337">
          <cell r="D337" t="str">
            <v>un</v>
          </cell>
        </row>
        <row r="339">
          <cell r="D339" t="str">
            <v>un</v>
          </cell>
        </row>
        <row r="341">
          <cell r="D341" t="str">
            <v>un</v>
          </cell>
        </row>
        <row r="343">
          <cell r="D343" t="str">
            <v>un</v>
          </cell>
        </row>
        <row r="345">
          <cell r="D345" t="str">
            <v>un</v>
          </cell>
        </row>
        <row r="349">
          <cell r="D349" t="str">
            <v>un</v>
          </cell>
        </row>
        <row r="351">
          <cell r="D351" t="str">
            <v>un</v>
          </cell>
        </row>
        <row r="353">
          <cell r="D353" t="str">
            <v>un</v>
          </cell>
        </row>
        <row r="355">
          <cell r="D355" t="str">
            <v>un</v>
          </cell>
        </row>
        <row r="357">
          <cell r="D357" t="str">
            <v>un</v>
          </cell>
        </row>
        <row r="359">
          <cell r="D359" t="str">
            <v>un</v>
          </cell>
        </row>
        <row r="361">
          <cell r="D361" t="str">
            <v>un</v>
          </cell>
        </row>
        <row r="363">
          <cell r="D363" t="str">
            <v>un</v>
          </cell>
        </row>
        <row r="367">
          <cell r="D367" t="str">
            <v>un</v>
          </cell>
        </row>
        <row r="369">
          <cell r="D369" t="str">
            <v>un</v>
          </cell>
        </row>
        <row r="371">
          <cell r="D371" t="str">
            <v>un</v>
          </cell>
        </row>
        <row r="373">
          <cell r="D373" t="str">
            <v>un</v>
          </cell>
        </row>
        <row r="377">
          <cell r="D377" t="str">
            <v>un</v>
          </cell>
        </row>
        <row r="379">
          <cell r="D379" t="str">
            <v>un</v>
          </cell>
        </row>
        <row r="381">
          <cell r="D381" t="str">
            <v>un</v>
          </cell>
        </row>
        <row r="383">
          <cell r="D383" t="str">
            <v>un</v>
          </cell>
        </row>
        <row r="388">
          <cell r="D388" t="str">
            <v>un</v>
          </cell>
        </row>
        <row r="390">
          <cell r="D390" t="str">
            <v>un</v>
          </cell>
        </row>
        <row r="392">
          <cell r="D392" t="str">
            <v>un</v>
          </cell>
        </row>
        <row r="396">
          <cell r="D396" t="str">
            <v>un</v>
          </cell>
        </row>
        <row r="398">
          <cell r="D398" t="str">
            <v>un</v>
          </cell>
        </row>
        <row r="400">
          <cell r="D400" t="str">
            <v>un</v>
          </cell>
        </row>
        <row r="402">
          <cell r="D402" t="str">
            <v>un</v>
          </cell>
        </row>
        <row r="406">
          <cell r="D406" t="str">
            <v>un</v>
          </cell>
        </row>
        <row r="408">
          <cell r="D408" t="str">
            <v>un</v>
          </cell>
        </row>
        <row r="410">
          <cell r="D410" t="str">
            <v>un</v>
          </cell>
        </row>
        <row r="412">
          <cell r="D412" t="str">
            <v>un</v>
          </cell>
        </row>
        <row r="414">
          <cell r="D414" t="str">
            <v>un</v>
          </cell>
        </row>
        <row r="416">
          <cell r="D416" t="str">
            <v>un</v>
          </cell>
        </row>
        <row r="420">
          <cell r="D420" t="str">
            <v>un</v>
          </cell>
        </row>
        <row r="422">
          <cell r="D422" t="str">
            <v>un</v>
          </cell>
        </row>
        <row r="424">
          <cell r="D424" t="str">
            <v>un</v>
          </cell>
        </row>
        <row r="426">
          <cell r="D426" t="str">
            <v>un</v>
          </cell>
        </row>
        <row r="428">
          <cell r="D428" t="str">
            <v>un</v>
          </cell>
        </row>
        <row r="432">
          <cell r="D432" t="str">
            <v>un</v>
          </cell>
        </row>
        <row r="434">
          <cell r="D434" t="str">
            <v>un</v>
          </cell>
        </row>
        <row r="436">
          <cell r="D436" t="str">
            <v>un</v>
          </cell>
        </row>
        <row r="438">
          <cell r="D438" t="str">
            <v>un</v>
          </cell>
        </row>
        <row r="440">
          <cell r="D440" t="str">
            <v>un</v>
          </cell>
        </row>
        <row r="444">
          <cell r="D444" t="str">
            <v>un</v>
          </cell>
        </row>
        <row r="446">
          <cell r="D446" t="str">
            <v>un</v>
          </cell>
        </row>
        <row r="448">
          <cell r="D448" t="str">
            <v>un</v>
          </cell>
        </row>
        <row r="450">
          <cell r="D450" t="str">
            <v>un</v>
          </cell>
        </row>
        <row r="452">
          <cell r="D452" t="str">
            <v>un</v>
          </cell>
        </row>
        <row r="456">
          <cell r="D456" t="str">
            <v>un</v>
          </cell>
        </row>
        <row r="458">
          <cell r="D458" t="str">
            <v>un</v>
          </cell>
        </row>
        <row r="460">
          <cell r="D460" t="str">
            <v>un</v>
          </cell>
        </row>
        <row r="462">
          <cell r="D462" t="str">
            <v>un</v>
          </cell>
        </row>
        <row r="464">
          <cell r="D464" t="str">
            <v>un</v>
          </cell>
        </row>
        <row r="466">
          <cell r="D466" t="str">
            <v>un</v>
          </cell>
        </row>
        <row r="468">
          <cell r="D468" t="str">
            <v>un</v>
          </cell>
        </row>
        <row r="470">
          <cell r="D470" t="str">
            <v>un</v>
          </cell>
        </row>
        <row r="472">
          <cell r="D472" t="str">
            <v>un</v>
          </cell>
        </row>
        <row r="473">
          <cell r="D473">
            <v>0</v>
          </cell>
        </row>
        <row r="474">
          <cell r="D474" t="str">
            <v>cm2</v>
          </cell>
        </row>
        <row r="476">
          <cell r="D476" t="str">
            <v>un</v>
          </cell>
        </row>
        <row r="480">
          <cell r="D480" t="str">
            <v>un</v>
          </cell>
        </row>
        <row r="482">
          <cell r="D482" t="str">
            <v>un</v>
          </cell>
        </row>
        <row r="484">
          <cell r="D484" t="str">
            <v>un</v>
          </cell>
        </row>
        <row r="486">
          <cell r="D486" t="str">
            <v>un</v>
          </cell>
        </row>
        <row r="488">
          <cell r="D488" t="str">
            <v>un</v>
          </cell>
        </row>
        <row r="490">
          <cell r="D490" t="str">
            <v>un</v>
          </cell>
        </row>
        <row r="494">
          <cell r="D494" t="str">
            <v>un</v>
          </cell>
        </row>
        <row r="496">
          <cell r="D496" t="str">
            <v>un</v>
          </cell>
        </row>
        <row r="498">
          <cell r="D498" t="str">
            <v>un</v>
          </cell>
        </row>
        <row r="500">
          <cell r="D500" t="str">
            <v>un</v>
          </cell>
        </row>
        <row r="502">
          <cell r="D502" t="str">
            <v>un</v>
          </cell>
        </row>
        <row r="504">
          <cell r="D504" t="str">
            <v>un</v>
          </cell>
        </row>
        <row r="506">
          <cell r="D506" t="str">
            <v>un</v>
          </cell>
        </row>
        <row r="508">
          <cell r="D508" t="str">
            <v>un</v>
          </cell>
        </row>
        <row r="510">
          <cell r="D510" t="str">
            <v>un</v>
          </cell>
        </row>
        <row r="512">
          <cell r="D512" t="str">
            <v>un</v>
          </cell>
        </row>
        <row r="514">
          <cell r="D514" t="str">
            <v>un</v>
          </cell>
        </row>
        <row r="518">
          <cell r="D518" t="str">
            <v xml:space="preserve"> cm</v>
          </cell>
        </row>
        <row r="520">
          <cell r="D520" t="str">
            <v xml:space="preserve"> cm</v>
          </cell>
        </row>
        <row r="522">
          <cell r="D522" t="str">
            <v>cm</v>
          </cell>
        </row>
        <row r="524">
          <cell r="D524" t="str">
            <v>un</v>
          </cell>
        </row>
        <row r="530">
          <cell r="D530" t="str">
            <v>m</v>
          </cell>
        </row>
        <row r="532">
          <cell r="D532" t="str">
            <v>m</v>
          </cell>
        </row>
        <row r="534">
          <cell r="D534" t="str">
            <v>m</v>
          </cell>
        </row>
        <row r="536">
          <cell r="D536" t="str">
            <v>m</v>
          </cell>
        </row>
        <row r="538">
          <cell r="D538" t="str">
            <v>m</v>
          </cell>
        </row>
        <row r="540">
          <cell r="D540" t="str">
            <v>m</v>
          </cell>
        </row>
        <row r="544">
          <cell r="D544" t="str">
            <v>m</v>
          </cell>
        </row>
        <row r="546">
          <cell r="D546" t="str">
            <v>m</v>
          </cell>
        </row>
        <row r="548">
          <cell r="D548" t="str">
            <v>m</v>
          </cell>
        </row>
        <row r="550">
          <cell r="D550" t="str">
            <v>un</v>
          </cell>
        </row>
        <row r="554">
          <cell r="D554" t="str">
            <v>un</v>
          </cell>
        </row>
        <row r="556">
          <cell r="D556" t="str">
            <v>un</v>
          </cell>
        </row>
        <row r="558">
          <cell r="D558" t="str">
            <v>un</v>
          </cell>
        </row>
        <row r="560">
          <cell r="D560" t="str">
            <v>m</v>
          </cell>
        </row>
        <row r="564">
          <cell r="D564" t="str">
            <v>un</v>
          </cell>
        </row>
        <row r="566">
          <cell r="D566" t="str">
            <v>un</v>
          </cell>
        </row>
        <row r="568">
          <cell r="D568" t="str">
            <v>un</v>
          </cell>
        </row>
        <row r="572">
          <cell r="D572" t="str">
            <v>un</v>
          </cell>
        </row>
        <row r="574">
          <cell r="D574" t="str">
            <v>un</v>
          </cell>
        </row>
        <row r="576">
          <cell r="D576" t="str">
            <v>un</v>
          </cell>
        </row>
        <row r="578">
          <cell r="D578" t="str">
            <v>un</v>
          </cell>
        </row>
        <row r="580">
          <cell r="D580" t="str">
            <v>un</v>
          </cell>
        </row>
        <row r="584">
          <cell r="D584" t="str">
            <v>un</v>
          </cell>
        </row>
        <row r="586">
          <cell r="D586" t="str">
            <v>un</v>
          </cell>
        </row>
        <row r="588">
          <cell r="D588" t="str">
            <v>un</v>
          </cell>
        </row>
        <row r="590">
          <cell r="D590" t="str">
            <v>un</v>
          </cell>
        </row>
        <row r="592">
          <cell r="D592" t="str">
            <v>un</v>
          </cell>
        </row>
        <row r="596">
          <cell r="D596" t="str">
            <v>un</v>
          </cell>
        </row>
        <row r="598">
          <cell r="D598" t="str">
            <v>un</v>
          </cell>
        </row>
        <row r="600">
          <cell r="D600" t="str">
            <v>un</v>
          </cell>
        </row>
        <row r="604">
          <cell r="D604" t="str">
            <v>un</v>
          </cell>
        </row>
        <row r="606">
          <cell r="D606" t="str">
            <v>un</v>
          </cell>
        </row>
        <row r="608">
          <cell r="D608" t="str">
            <v>un</v>
          </cell>
        </row>
        <row r="610">
          <cell r="D610" t="str">
            <v>un</v>
          </cell>
        </row>
        <row r="612">
          <cell r="D612" t="str">
            <v>un</v>
          </cell>
        </row>
        <row r="614">
          <cell r="D614" t="str">
            <v>un</v>
          </cell>
        </row>
        <row r="616">
          <cell r="D616" t="str">
            <v>un</v>
          </cell>
        </row>
        <row r="618">
          <cell r="D618" t="str">
            <v>un</v>
          </cell>
        </row>
        <row r="622">
          <cell r="D622" t="str">
            <v>m</v>
          </cell>
        </row>
        <row r="624">
          <cell r="D624" t="str">
            <v>m</v>
          </cell>
        </row>
        <row r="626">
          <cell r="D626" t="str">
            <v>un</v>
          </cell>
        </row>
        <row r="628">
          <cell r="D628" t="str">
            <v>un</v>
          </cell>
        </row>
        <row r="632">
          <cell r="D632" t="str">
            <v>h</v>
          </cell>
        </row>
        <row r="634">
          <cell r="D634" t="str">
            <v>h</v>
          </cell>
        </row>
        <row r="636">
          <cell r="D636" t="str">
            <v>h</v>
          </cell>
        </row>
        <row r="638">
          <cell r="D638" t="str">
            <v>h</v>
          </cell>
        </row>
        <row r="640">
          <cell r="D640" t="str">
            <v>h</v>
          </cell>
        </row>
        <row r="642">
          <cell r="D642" t="str">
            <v>h</v>
          </cell>
        </row>
        <row r="646">
          <cell r="D646" t="str">
            <v>h</v>
          </cell>
        </row>
        <row r="648">
          <cell r="D648" t="str">
            <v>h</v>
          </cell>
        </row>
        <row r="650">
          <cell r="D650" t="str">
            <v>un</v>
          </cell>
        </row>
        <row r="654">
          <cell r="D654" t="str">
            <v>sg</v>
          </cell>
        </row>
      </sheetData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OBRAS "/>
      <sheetName val="OPTIMIZACIÓN"/>
      <sheetName val="APU OPTIMIZACIÓN"/>
      <sheetName val="PTAP"/>
      <sheetName val="APU PTAP"/>
      <sheetName val="Tanque de Almacenamiento"/>
      <sheetName val="APU TAL"/>
      <sheetName val=" REDES DE DISTRI"/>
      <sheetName val="APU_Redes"/>
      <sheetName val="ESTAC.  REGULA"/>
      <sheetName val="APU ESTC REGUL "/>
      <sheetName val="REDES ALCANTARILLADO"/>
      <sheetName val="APU REDES ALCANTARILLADO"/>
      <sheetName val="VIA"/>
      <sheetName val="APU VIA"/>
      <sheetName val="SENDEROS"/>
      <sheetName val="APU SENDEROS"/>
      <sheetName val="BASE CTOS"/>
      <sheetName val="BASE"/>
      <sheetName val="ResumenGeneral"/>
      <sheetName val="BOCATOMA"/>
      <sheetName val="APU BOCATOMA"/>
      <sheetName val="ADUCCIÓN"/>
      <sheetName val="APU ADUCCIÓN"/>
      <sheetName val="DESARENADOR"/>
      <sheetName val="APU DESARENADOR"/>
      <sheetName val="PLANTA DE TRATAMIENTO"/>
      <sheetName val="APU PLANTA DE TRATAMIENTO"/>
      <sheetName val="APU TANQUE ALMAC"/>
      <sheetName val="CASETA DE OPERACIONES"/>
      <sheetName val="APU CASETA DE OPERACIONES"/>
      <sheetName val="RESUMEN_OBRAS_"/>
      <sheetName val="APU_OPTIMIZACIÓN"/>
      <sheetName val="APU_PTAP"/>
      <sheetName val="Tanque_de_Almacenamiento"/>
      <sheetName val="APU_TAL"/>
      <sheetName val="_REDES_DE_DISTRI"/>
      <sheetName val="ESTAC___REGULA"/>
      <sheetName val="APU_ESTC_REGUL_"/>
      <sheetName val="REDES_ALCANTARILLADO"/>
      <sheetName val="APU_REDES_ALCANTARILLADO"/>
      <sheetName val="APU_VIA"/>
      <sheetName val="APU_SENDEROS"/>
      <sheetName val="BASE_CTOS"/>
      <sheetName val="APU_BOCATOMA"/>
      <sheetName val="APU_ADUCCIÓN"/>
      <sheetName val="APU_DESARENADOR"/>
      <sheetName val="PLANTA_DE_TRATAMIENTO"/>
      <sheetName val="APU_PLANTA_DE_TRATAMIENTO"/>
      <sheetName val="APU_TANQUE_ALMAC"/>
      <sheetName val="CASETA_DE_OPERACIONES"/>
      <sheetName val="APU_CASETA_DE_OPERACIONES"/>
      <sheetName val="RESUMEN_OBRAS_1"/>
      <sheetName val="APU_OPTIMIZACIÓN1"/>
      <sheetName val="APU_PTAP1"/>
      <sheetName val="Tanque_de_Almacenamiento1"/>
      <sheetName val="APU_TAL1"/>
      <sheetName val="_REDES_DE_DISTRI1"/>
      <sheetName val="ESTAC___REGULA1"/>
      <sheetName val="APU_ESTC_REGUL_1"/>
      <sheetName val="REDES_ALCANTARILLADO1"/>
      <sheetName val="APU_REDES_ALCANTARILLADO1"/>
      <sheetName val="APU_VIA1"/>
      <sheetName val="APU_SENDEROS1"/>
      <sheetName val="BASE_CTOS1"/>
      <sheetName val="APU_BOCATOMA1"/>
      <sheetName val="APU_ADUCCIÓN1"/>
      <sheetName val="APU_DESARENADOR1"/>
      <sheetName val="PLANTA_DE_TRATAMIENTO1"/>
      <sheetName val="APU_PLANTA_DE_TRATAMIENTO1"/>
      <sheetName val="APU_TANQUE_ALMAC1"/>
      <sheetName val="CASETA_DE_OPERACIONES1"/>
      <sheetName val="APU_CASETA_DE_OPERACIONES1"/>
      <sheetName val="RESUMEN_OBRAS_5"/>
      <sheetName val="APU_OPTIMIZACIÓN5"/>
      <sheetName val="APU_PTAP5"/>
      <sheetName val="Tanque_de_Almacenamiento5"/>
      <sheetName val="APU_TAL5"/>
      <sheetName val="_REDES_DE_DISTRI5"/>
      <sheetName val="ESTAC___REGULA5"/>
      <sheetName val="APU_ESTC_REGUL_5"/>
      <sheetName val="REDES_ALCANTARILLADO5"/>
      <sheetName val="APU_REDES_ALCANTARILLADO5"/>
      <sheetName val="APU_VIA5"/>
      <sheetName val="APU_SENDEROS5"/>
      <sheetName val="BASE_CTOS5"/>
      <sheetName val="APU_BOCATOMA5"/>
      <sheetName val="APU_ADUCCIÓN5"/>
      <sheetName val="APU_DESARENADOR5"/>
      <sheetName val="PLANTA_DE_TRATAMIENTO5"/>
      <sheetName val="APU_PLANTA_DE_TRATAMIENTO5"/>
      <sheetName val="APU_TANQUE_ALMAC5"/>
      <sheetName val="CASETA_DE_OPERACIONES5"/>
      <sheetName val="APU_CASETA_DE_OPERACIONES5"/>
      <sheetName val="RESUMEN_OBRAS_2"/>
      <sheetName val="APU_OPTIMIZACIÓN2"/>
      <sheetName val="APU_PTAP2"/>
      <sheetName val="Tanque_de_Almacenamiento2"/>
      <sheetName val="APU_TAL2"/>
      <sheetName val="_REDES_DE_DISTRI2"/>
      <sheetName val="ESTAC___REGULA2"/>
      <sheetName val="APU_ESTC_REGUL_2"/>
      <sheetName val="REDES_ALCANTARILLADO2"/>
      <sheetName val="APU_REDES_ALCANTARILLADO2"/>
      <sheetName val="APU_VIA2"/>
      <sheetName val="APU_SENDEROS2"/>
      <sheetName val="BASE_CTOS2"/>
      <sheetName val="APU_BOCATOMA2"/>
      <sheetName val="APU_ADUCCIÓN2"/>
      <sheetName val="APU_DESARENADOR2"/>
      <sheetName val="PLANTA_DE_TRATAMIENTO2"/>
      <sheetName val="APU_PLANTA_DE_TRATAMIENTO2"/>
      <sheetName val="APU_TANQUE_ALMAC2"/>
      <sheetName val="CASETA_DE_OPERACIONES2"/>
      <sheetName val="APU_CASETA_DE_OPERACIONES2"/>
      <sheetName val="RESUMEN_OBRAS_3"/>
      <sheetName val="APU_OPTIMIZACIÓN3"/>
      <sheetName val="APU_PTAP3"/>
      <sheetName val="Tanque_de_Almacenamiento3"/>
      <sheetName val="APU_TAL3"/>
      <sheetName val="_REDES_DE_DISTRI3"/>
      <sheetName val="ESTAC___REGULA3"/>
      <sheetName val="APU_ESTC_REGUL_3"/>
      <sheetName val="REDES_ALCANTARILLADO3"/>
      <sheetName val="APU_REDES_ALCANTARILLADO3"/>
      <sheetName val="APU_VIA3"/>
      <sheetName val="APU_SENDEROS3"/>
      <sheetName val="BASE_CTOS3"/>
      <sheetName val="APU_BOCATOMA3"/>
      <sheetName val="APU_ADUCCIÓN3"/>
      <sheetName val="APU_DESARENADOR3"/>
      <sheetName val="PLANTA_DE_TRATAMIENTO3"/>
      <sheetName val="APU_PLANTA_DE_TRATAMIENTO3"/>
      <sheetName val="APU_TANQUE_ALMAC3"/>
      <sheetName val="CASETA_DE_OPERACIONES3"/>
      <sheetName val="APU_CASETA_DE_OPERACIONES3"/>
      <sheetName val="RESUMEN_OBRAS_4"/>
      <sheetName val="APU_OPTIMIZACIÓN4"/>
      <sheetName val="APU_PTAP4"/>
      <sheetName val="Tanque_de_Almacenamiento4"/>
      <sheetName val="APU_TAL4"/>
      <sheetName val="_REDES_DE_DISTRI4"/>
      <sheetName val="ESTAC___REGULA4"/>
      <sheetName val="APU_ESTC_REGUL_4"/>
      <sheetName val="REDES_ALCANTARILLADO4"/>
      <sheetName val="APU_REDES_ALCANTARILLADO4"/>
      <sheetName val="APU_VIA4"/>
      <sheetName val="APU_SENDEROS4"/>
      <sheetName val="BASE_CTOS4"/>
      <sheetName val="APU_BOCATOMA4"/>
      <sheetName val="APU_ADUCCIÓN4"/>
      <sheetName val="APU_DESARENADOR4"/>
      <sheetName val="PLANTA_DE_TRATAMIENTO4"/>
      <sheetName val="APU_PLANTA_DE_TRATAMIENTO4"/>
      <sheetName val="APU_TANQUE_ALMAC4"/>
      <sheetName val="CASETA_DE_OPERACIONES4"/>
      <sheetName val="APU_CASETA_DE_OPERACIONES4"/>
      <sheetName val="RESUMEN_OBRAS_6"/>
      <sheetName val="APU_OPTIMIZACIÓN6"/>
      <sheetName val="APU_PTAP6"/>
      <sheetName val="Tanque_de_Almacenamiento6"/>
      <sheetName val="APU_TAL6"/>
      <sheetName val="_REDES_DE_DISTRI6"/>
      <sheetName val="ESTAC___REGULA6"/>
      <sheetName val="APU_ESTC_REGUL_6"/>
      <sheetName val="REDES_ALCANTARILLADO6"/>
      <sheetName val="APU_REDES_ALCANTARILLADO6"/>
      <sheetName val="APU_VIA6"/>
      <sheetName val="APU_SENDEROS6"/>
      <sheetName val="BASE_CTOS6"/>
      <sheetName val="APU_BOCATOMA6"/>
      <sheetName val="APU_ADUCCIÓN6"/>
      <sheetName val="APU_DESARENADOR6"/>
      <sheetName val="PLANTA_DE_TRATAMIENTO6"/>
      <sheetName val="APU_PLANTA_DE_TRATAMIENTO6"/>
      <sheetName val="APU_TANQUE_ALMAC6"/>
      <sheetName val="CASETA_DE_OPERACIONES6"/>
      <sheetName val="APU_CASETA_DE_OPERACIONES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3">
          <cell r="C3">
            <v>0.2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TIVO"/>
      <sheetName val="PRESUPUESTO ULTIMO RADICADO"/>
      <sheetName val="PRESUPUESTO"/>
      <sheetName val="MEMORIAS DE CALCULO"/>
      <sheetName val="PRESUPUESTO FINAL RESUMEN"/>
      <sheetName val="PRESUPUESTO URBAN"/>
      <sheetName val="PRESUPUESTO URBAN RESUMEN"/>
      <sheetName val="DESCUENTOS"/>
      <sheetName val="A.P.U."/>
      <sheetName val="INSUMOS"/>
      <sheetName val="INSUMOS FINAL"/>
      <sheetName val="INSUMOS A PRESENTAR"/>
      <sheetName val="RESUMEN PRSUPUESTO TOTAL"/>
      <sheetName val="Anx AV1"/>
      <sheetName val="CALCULO DEL AIU"/>
      <sheetName val="FLUJO DE CAJA PROYECTADO"/>
      <sheetName val="CALCULO ADMON PLAN DE VIVIENDA"/>
      <sheetName val="oferta Viv Nva"/>
      <sheetName val="Anx AV2"/>
      <sheetName val="Anx AV3"/>
      <sheetName val="Predios"/>
      <sheetName val="EQUIPOS Y TRANS."/>
      <sheetName val="SALARIOS"/>
      <sheetName val="ADMINISTRACION"/>
      <sheetName val="SALVAMENTO"/>
      <sheetName val="EVALUACION FINANCIERA"/>
      <sheetName val="PROPUESTA GRUPO G2"/>
      <sheetName val="PROPUESTA HECTOR TORRES"/>
      <sheetName val="PRESUPUESTO_ULTIMO_RADICADO"/>
      <sheetName val="MEMORIAS_DE_CALCULO"/>
      <sheetName val="PRESUPUESTO_FINAL_RESUMEN"/>
      <sheetName val="PRESUPUESTO_URBAN"/>
      <sheetName val="PRESUPUESTO_URBAN_RESUMEN"/>
      <sheetName val="A_P_U_"/>
      <sheetName val="INSUMOS_FINAL"/>
      <sheetName val="INSUMOS_A_PRESENTAR"/>
      <sheetName val="RESUMEN_PRSUPUESTO_TOTAL"/>
      <sheetName val="Anx_AV1"/>
      <sheetName val="CALCULO_DEL_AIU"/>
      <sheetName val="FLUJO_DE_CAJA_PROYECTADO"/>
      <sheetName val="CALCULO_ADMON_PLAN_DE_VIVIENDA"/>
      <sheetName val="oferta_Viv_Nva"/>
      <sheetName val="Anx_AV2"/>
      <sheetName val="Anx_AV3"/>
      <sheetName val="EQUIPOS_Y_TRANS_"/>
      <sheetName val="EVALUACION_FINANCIERA"/>
      <sheetName val="PROPUESTA_GRUPO_G2"/>
      <sheetName val="PROPUESTA_HECTOR_TORRES"/>
      <sheetName val="PRESUPUESTO_ULTIMO_RADICADO1"/>
      <sheetName val="MEMORIAS_DE_CALCULO1"/>
      <sheetName val="PRESUPUESTO_FINAL_RESUMEN1"/>
      <sheetName val="PRESUPUESTO_URBAN1"/>
      <sheetName val="PRESUPUESTO_URBAN_RESUMEN1"/>
      <sheetName val="A_P_U_1"/>
      <sheetName val="INSUMOS_FINAL1"/>
      <sheetName val="INSUMOS_A_PRESENTAR1"/>
      <sheetName val="RESUMEN_PRSUPUESTO_TOTAL1"/>
      <sheetName val="Anx_AV11"/>
      <sheetName val="CALCULO_DEL_AIU1"/>
      <sheetName val="FLUJO_DE_CAJA_PROYECTADO1"/>
      <sheetName val="CALCULO_ADMON_PLAN_DE_VIVIENDA1"/>
      <sheetName val="oferta_Viv_Nva1"/>
      <sheetName val="Anx_AV21"/>
      <sheetName val="Anx_AV31"/>
      <sheetName val="EQUIPOS_Y_TRANS_1"/>
      <sheetName val="EVALUACION_FINANCIERA1"/>
      <sheetName val="PROPUESTA_GRUPO_G21"/>
      <sheetName val="PROPUESTA_HECTOR_TORRES1"/>
      <sheetName val="PRESUPUESTO_ULTIMO_RADICADO5"/>
      <sheetName val="MEMORIAS_DE_CALCULO5"/>
      <sheetName val="PRESUPUESTO_FINAL_RESUMEN5"/>
      <sheetName val="PRESUPUESTO_URBAN5"/>
      <sheetName val="PRESUPUESTO_URBAN_RESUMEN5"/>
      <sheetName val="A_P_U_5"/>
      <sheetName val="INSUMOS_FINAL5"/>
      <sheetName val="INSUMOS_A_PRESENTAR5"/>
      <sheetName val="RESUMEN_PRSUPUESTO_TOTAL5"/>
      <sheetName val="Anx_AV15"/>
      <sheetName val="CALCULO_DEL_AIU5"/>
      <sheetName val="FLUJO_DE_CAJA_PROYECTADO5"/>
      <sheetName val="CALCULO_ADMON_PLAN_DE_VIVIENDA5"/>
      <sheetName val="oferta_Viv_Nva5"/>
      <sheetName val="Anx_AV25"/>
      <sheetName val="Anx_AV35"/>
      <sheetName val="EQUIPOS_Y_TRANS_5"/>
      <sheetName val="EVALUACION_FINANCIERA5"/>
      <sheetName val="PROPUESTA_GRUPO_G25"/>
      <sheetName val="PROPUESTA_HECTOR_TORRES5"/>
      <sheetName val="PRESUPUESTO_ULTIMO_RADICADO2"/>
      <sheetName val="MEMORIAS_DE_CALCULO2"/>
      <sheetName val="PRESUPUESTO_FINAL_RESUMEN2"/>
      <sheetName val="PRESUPUESTO_URBAN2"/>
      <sheetName val="PRESUPUESTO_URBAN_RESUMEN2"/>
      <sheetName val="A_P_U_2"/>
      <sheetName val="INSUMOS_FINAL2"/>
      <sheetName val="INSUMOS_A_PRESENTAR2"/>
      <sheetName val="RESUMEN_PRSUPUESTO_TOTAL2"/>
      <sheetName val="Anx_AV12"/>
      <sheetName val="CALCULO_DEL_AIU2"/>
      <sheetName val="FLUJO_DE_CAJA_PROYECTADO2"/>
      <sheetName val="CALCULO_ADMON_PLAN_DE_VIVIENDA2"/>
      <sheetName val="oferta_Viv_Nva2"/>
      <sheetName val="Anx_AV22"/>
      <sheetName val="Anx_AV32"/>
      <sheetName val="EQUIPOS_Y_TRANS_2"/>
      <sheetName val="EVALUACION_FINANCIERA2"/>
      <sheetName val="PROPUESTA_GRUPO_G22"/>
      <sheetName val="PROPUESTA_HECTOR_TORRES2"/>
      <sheetName val="PRESUPUESTO_ULTIMO_RADICADO3"/>
      <sheetName val="MEMORIAS_DE_CALCULO3"/>
      <sheetName val="PRESUPUESTO_FINAL_RESUMEN3"/>
      <sheetName val="PRESUPUESTO_URBAN3"/>
      <sheetName val="PRESUPUESTO_URBAN_RESUMEN3"/>
      <sheetName val="A_P_U_3"/>
      <sheetName val="INSUMOS_FINAL3"/>
      <sheetName val="INSUMOS_A_PRESENTAR3"/>
      <sheetName val="RESUMEN_PRSUPUESTO_TOTAL3"/>
      <sheetName val="Anx_AV13"/>
      <sheetName val="CALCULO_DEL_AIU3"/>
      <sheetName val="FLUJO_DE_CAJA_PROYECTADO3"/>
      <sheetName val="CALCULO_ADMON_PLAN_DE_VIVIENDA3"/>
      <sheetName val="oferta_Viv_Nva3"/>
      <sheetName val="Anx_AV23"/>
      <sheetName val="Anx_AV33"/>
      <sheetName val="EQUIPOS_Y_TRANS_3"/>
      <sheetName val="EVALUACION_FINANCIERA3"/>
      <sheetName val="PROPUESTA_GRUPO_G23"/>
      <sheetName val="PROPUESTA_HECTOR_TORRES3"/>
      <sheetName val="PRESUPUESTO_ULTIMO_RADICADO4"/>
      <sheetName val="MEMORIAS_DE_CALCULO4"/>
      <sheetName val="PRESUPUESTO_FINAL_RESUMEN4"/>
      <sheetName val="PRESUPUESTO_URBAN4"/>
      <sheetName val="PRESUPUESTO_URBAN_RESUMEN4"/>
      <sheetName val="A_P_U_4"/>
      <sheetName val="INSUMOS_FINAL4"/>
      <sheetName val="INSUMOS_A_PRESENTAR4"/>
      <sheetName val="RESUMEN_PRSUPUESTO_TOTAL4"/>
      <sheetName val="Anx_AV14"/>
      <sheetName val="CALCULO_DEL_AIU4"/>
      <sheetName val="FLUJO_DE_CAJA_PROYECTADO4"/>
      <sheetName val="CALCULO_ADMON_PLAN_DE_VIVIENDA4"/>
      <sheetName val="oferta_Viv_Nva4"/>
      <sheetName val="Anx_AV24"/>
      <sheetName val="Anx_AV34"/>
      <sheetName val="EQUIPOS_Y_TRANS_4"/>
      <sheetName val="EVALUACION_FINANCIERA4"/>
      <sheetName val="PROPUESTA_GRUPO_G24"/>
      <sheetName val="PROPUESTA_HECTOR_TORRES4"/>
      <sheetName val="PRESUPUESTO_ULTIMO_RADICADO6"/>
      <sheetName val="MEMORIAS_DE_CALCULO6"/>
      <sheetName val="PRESUPUESTO_FINAL_RESUMEN6"/>
      <sheetName val="PRESUPUESTO_URBAN6"/>
      <sheetName val="PRESUPUESTO_URBAN_RESUMEN6"/>
      <sheetName val="A_P_U_6"/>
      <sheetName val="INSUMOS_FINAL6"/>
      <sheetName val="INSUMOS_A_PRESENTAR6"/>
      <sheetName val="RESUMEN_PRSUPUESTO_TOTAL6"/>
      <sheetName val="Anx_AV16"/>
      <sheetName val="CALCULO_DEL_AIU6"/>
      <sheetName val="FLUJO_DE_CAJA_PROYECTADO6"/>
      <sheetName val="CALCULO_ADMON_PLAN_DE_VIVIENDA6"/>
      <sheetName val="oferta_Viv_Nva6"/>
      <sheetName val="Anx_AV26"/>
      <sheetName val="Anx_AV36"/>
      <sheetName val="EQUIPOS_Y_TRANS_6"/>
      <sheetName val="EVALUACION_FINANCIERA6"/>
      <sheetName val="PROPUESTA_GRUPO_G26"/>
      <sheetName val="PROPUESTA_HECTOR_TORRES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8">
          <cell r="B8" t="str">
            <v>ACERO CORRU./FIG. PR-60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8">
          <cell r="B8" t="str">
            <v>ACERO CORRU./FIG. PR-60</v>
          </cell>
        </row>
        <row r="9">
          <cell r="B9" t="str">
            <v>ACONDICIONADOR NOVAFORT</v>
          </cell>
        </row>
        <row r="10">
          <cell r="B10" t="str">
            <v>ADHESIVO NOVAFORT</v>
          </cell>
        </row>
        <row r="11">
          <cell r="B11" t="str">
            <v>AGUA</v>
          </cell>
        </row>
        <row r="12">
          <cell r="B12" t="str">
            <v>AMARRES PARA TEJA ETERNIT</v>
          </cell>
        </row>
        <row r="13">
          <cell r="B13" t="str">
            <v>ALAMBRE NEGRO       No.18</v>
          </cell>
        </row>
        <row r="14">
          <cell r="B14" t="str">
            <v>ARENA DE PEÑA INCLUYE TRANSPORTE</v>
          </cell>
        </row>
        <row r="15">
          <cell r="B15" t="str">
            <v>BLOQUE No 4</v>
          </cell>
        </row>
        <row r="16">
          <cell r="B16" t="str">
            <v>BLOQUE No.5</v>
          </cell>
        </row>
        <row r="17">
          <cell r="B17" t="str">
            <v>CABALLETE</v>
          </cell>
        </row>
        <row r="18">
          <cell r="B18" t="str">
            <v>CEMENTO BLANCO</v>
          </cell>
        </row>
        <row r="19">
          <cell r="B19" t="str">
            <v>CEMENTO GRIS</v>
          </cell>
        </row>
        <row r="20">
          <cell r="B20" t="str">
            <v xml:space="preserve">CEMENTO GRIS  </v>
          </cell>
        </row>
        <row r="21">
          <cell r="B21" t="str">
            <v>CODO 90º  GALVANIZADO 1/2"</v>
          </cell>
        </row>
        <row r="22">
          <cell r="B22" t="str">
            <v>CODO 90º  PVC PRESION 1/2"</v>
          </cell>
        </row>
        <row r="23">
          <cell r="B23" t="str">
            <v>CODO 90º  PVC PRESION 3/4"</v>
          </cell>
        </row>
        <row r="24">
          <cell r="B24" t="str">
            <v>CODO 90º  SANITARIO PVC 2"</v>
          </cell>
        </row>
        <row r="25">
          <cell r="B25" t="str">
            <v>CODO 90º  SANITARIO PVC 3"</v>
          </cell>
        </row>
        <row r="26">
          <cell r="B26" t="str">
            <v>CODO 90º  SANITARIO PVC 4"</v>
          </cell>
        </row>
        <row r="27">
          <cell r="B27" t="str">
            <v>COLLARIN 3X 1/2"</v>
          </cell>
        </row>
        <row r="28">
          <cell r="B28" t="str">
            <v>CONCRETO 3000 PSI (210) TREMIE</v>
          </cell>
        </row>
        <row r="29">
          <cell r="B29" t="str">
            <v>CONCRETO GRAVA COMUN 2000 PSI (140)</v>
          </cell>
        </row>
        <row r="30">
          <cell r="B30" t="str">
            <v>CONCRETO GRAVA COMUN 2500 PSI (175)</v>
          </cell>
        </row>
        <row r="31">
          <cell r="B31" t="str">
            <v>CONCRETO GRAVA COMUN 3000 PSI (210)</v>
          </cell>
        </row>
        <row r="32">
          <cell r="B32" t="str">
            <v>CONCRETO GRAVILLA FINA IMPERMEABILIZADO 4000 PSI</v>
          </cell>
        </row>
        <row r="33">
          <cell r="B33" t="str">
            <v>ENCHAPE CERAMICO 20,5X20,5  PARED</v>
          </cell>
        </row>
        <row r="34">
          <cell r="B34" t="str">
            <v>ENCHAPE CERAMICO 20,5X20,5  PISO</v>
          </cell>
        </row>
        <row r="35">
          <cell r="B35" t="str">
            <v>ESTACAS, HILOS Y OTROS</v>
          </cell>
        </row>
        <row r="36">
          <cell r="B36" t="str">
            <v>ESTACAS, HILOS Y OTROS</v>
          </cell>
        </row>
        <row r="37">
          <cell r="B37" t="str">
            <v>FORMALETA MADERA COMUN</v>
          </cell>
        </row>
        <row r="38">
          <cell r="B38" t="str">
            <v>GANCHOS PARA TEJA ETERNIT</v>
          </cell>
        </row>
        <row r="39">
          <cell r="B39" t="str">
            <v>GEOTEXTIL NT 3000</v>
          </cell>
        </row>
        <row r="40">
          <cell r="B40" t="str">
            <v>LADRILLO TOLETE COMÚN</v>
          </cell>
        </row>
        <row r="41">
          <cell r="B41" t="str">
            <v>LADRILLO TOLETE RECOCIDO</v>
          </cell>
        </row>
        <row r="42">
          <cell r="B42" t="str">
            <v>LAVAPLATOS INCLUYE GRIFERIA</v>
          </cell>
        </row>
        <row r="43">
          <cell r="B43" t="str">
            <v>LIMPIADOR Y SOLDADURA</v>
          </cell>
        </row>
        <row r="44">
          <cell r="B44" t="str">
            <v>MALLA ELECTROSOLDADA 15 X 15  X 4.5 MM</v>
          </cell>
        </row>
        <row r="45">
          <cell r="B45" t="str">
            <v>MANGUERA PF +UAD 1/2"</v>
          </cell>
        </row>
        <row r="46">
          <cell r="B46" t="str">
            <v>MEDIDOR 1/2" Y CAJILLA</v>
          </cell>
        </row>
        <row r="47">
          <cell r="B47" t="str">
            <v>MORTERO 1000 PSI (1:4)</v>
          </cell>
        </row>
        <row r="48">
          <cell r="B48" t="str">
            <v>MORTERO 1500 PSI (1:5)</v>
          </cell>
        </row>
        <row r="49">
          <cell r="B49" t="str">
            <v>MORTERO 2000 PSI (1:3)</v>
          </cell>
        </row>
        <row r="50">
          <cell r="B50" t="str">
            <v>MORTERO 3000 PSI</v>
          </cell>
        </row>
        <row r="51">
          <cell r="B51" t="str">
            <v>MORTERO IMPERMEABILIZADO 1:2</v>
          </cell>
        </row>
        <row r="52">
          <cell r="B52" t="str">
            <v>MORTERO IMPERMEABILIZADO PARA PAÑETE 1:2</v>
          </cell>
        </row>
        <row r="53">
          <cell r="B53" t="str">
            <v>MORTERO IMPERMEABILIZADO PARA PAÑETE 1:3</v>
          </cell>
        </row>
        <row r="54">
          <cell r="B54" t="str">
            <v>MORTERO IMPERMEABILIZADO PARA PAÑETE 1:5</v>
          </cell>
        </row>
        <row r="55">
          <cell r="B55" t="str">
            <v>MORTERO PARA PEGA 1:3</v>
          </cell>
        </row>
        <row r="56">
          <cell r="B56" t="str">
            <v xml:space="preserve">MORTERO PARA PEGA 1:4  </v>
          </cell>
        </row>
        <row r="57">
          <cell r="B57" t="str">
            <v>MORTERO PARA PEGA 1:4 IMPERMEABILIZADO</v>
          </cell>
        </row>
        <row r="58">
          <cell r="B58" t="str">
            <v>MORTERO PARA PEGA 1:5</v>
          </cell>
        </row>
        <row r="59">
          <cell r="B59" t="str">
            <v xml:space="preserve">MORTERO PARA PEGA 1:5  </v>
          </cell>
        </row>
        <row r="60">
          <cell r="B60" t="str">
            <v>PEGACOR GRIS</v>
          </cell>
        </row>
        <row r="61">
          <cell r="B61" t="str">
            <v>PEGAMAX GRIS</v>
          </cell>
        </row>
        <row r="62">
          <cell r="B62" t="str">
            <v>PEGANTE AKNZO NOBEL</v>
          </cell>
        </row>
        <row r="63">
          <cell r="B63" t="str">
            <v>PEGANTE PEGATEX</v>
          </cell>
        </row>
        <row r="64">
          <cell r="B64" t="str">
            <v>PUERTA MADERA 0,70 X 2,05 INCLUYE MARCO</v>
          </cell>
        </row>
        <row r="65">
          <cell r="B65" t="str">
            <v>PUERTA METALICA 1 X 2,05 INCLUYE MARCO</v>
          </cell>
        </row>
        <row r="66">
          <cell r="B66" t="str">
            <v xml:space="preserve">PUERTA METALICA DE 0,75x 2,05  </v>
          </cell>
        </row>
        <row r="67">
          <cell r="B67" t="str">
            <v>PUNTILLA C/CABEZA      2"</v>
          </cell>
        </row>
        <row r="68">
          <cell r="B68" t="str">
            <v xml:space="preserve">PUNTILLA DE 1 1/2" SIN CABEZA  </v>
          </cell>
        </row>
        <row r="69">
          <cell r="B69" t="str">
            <v>RECEBO  B-200 NO INCLUYE TRANSPORTE</v>
          </cell>
        </row>
        <row r="70">
          <cell r="B70" t="str">
            <v>RECEBO  B-400 NO INCLUYE TRANSPORTE</v>
          </cell>
        </row>
        <row r="71">
          <cell r="B71" t="str">
            <v>RECEBO  B-600 NO INCLUYE TRANSPORTE</v>
          </cell>
        </row>
        <row r="72">
          <cell r="B72" t="str">
            <v>REGISTRO INCORPORACION O CORTE 1/2"</v>
          </cell>
        </row>
        <row r="73">
          <cell r="B73" t="str">
            <v>REGISTRO BOLA 1/2"</v>
          </cell>
        </row>
        <row r="74">
          <cell r="B74" t="str">
            <v>SILLA YEE  400 X 110 mm NOVAFORT</v>
          </cell>
        </row>
        <row r="75">
          <cell r="B75" t="str">
            <v>TEJA ONDULADA No. 6 ETERNIT</v>
          </cell>
        </row>
        <row r="76">
          <cell r="B76" t="str">
            <v>TRITURADO DE 1"</v>
          </cell>
        </row>
        <row r="77">
          <cell r="B77" t="str">
            <v>TUBERIA PVC-P 1"</v>
          </cell>
        </row>
        <row r="78">
          <cell r="B78" t="str">
            <v>TUBERIA PVC-P 1/2"</v>
          </cell>
        </row>
        <row r="79">
          <cell r="B79" t="str">
            <v>TUBO ACUED. PRES. PVC  1 1/2"  RDE 21</v>
          </cell>
        </row>
        <row r="80">
          <cell r="B80" t="str">
            <v>TUBO ACUED. PRES. PVC 3/4"  RDE 11</v>
          </cell>
        </row>
        <row r="81">
          <cell r="B81" t="str">
            <v>TUBO ALCANTARILLADO PVC NOVAFORT  160 mm</v>
          </cell>
        </row>
        <row r="82">
          <cell r="B82" t="str">
            <v>TUBO CONDUIT PVC 1/2"</v>
          </cell>
        </row>
        <row r="83">
          <cell r="B83" t="str">
            <v>TUBO CONDUIT PVC 1"</v>
          </cell>
        </row>
        <row r="84">
          <cell r="B84" t="str">
            <v>TUBO SANITARIO PVC 2"</v>
          </cell>
        </row>
        <row r="85">
          <cell r="B85" t="str">
            <v>TUBO SANITARIO PVC 3"</v>
          </cell>
        </row>
        <row r="86">
          <cell r="B86" t="str">
            <v>TUBO SANITARIO PVC 4"</v>
          </cell>
        </row>
        <row r="87">
          <cell r="B87" t="str">
            <v>VARILLA COBRE  5/8" X 2,40 M</v>
          </cell>
        </row>
        <row r="88">
          <cell r="B88" t="str">
            <v>ANTICORROSIVO ROJO</v>
          </cell>
        </row>
        <row r="89">
          <cell r="B89" t="str">
            <v>BISAGRA EN ALUMINIO</v>
          </cell>
        </row>
        <row r="90">
          <cell r="B90" t="str">
            <v>SOLDADURA ELECTRICA</v>
          </cell>
        </row>
        <row r="91">
          <cell r="B91" t="str">
            <v>ANGULO HIERRO</v>
          </cell>
        </row>
        <row r="92">
          <cell r="B92" t="str">
            <v>TUBERIA PVC PRESION 3"</v>
          </cell>
        </row>
        <row r="93">
          <cell r="B93" t="str">
            <v>TUBERIA PVC PRESION 4"</v>
          </cell>
        </row>
        <row r="94">
          <cell r="B94" t="str">
            <v>TUBERIA PVC PRESION 6"</v>
          </cell>
        </row>
        <row r="95">
          <cell r="B95" t="str">
            <v>CODO PVC PRESION 3"</v>
          </cell>
        </row>
        <row r="96">
          <cell r="B96" t="str">
            <v>CODO PVC PRESION 4"</v>
          </cell>
        </row>
        <row r="97">
          <cell r="B97" t="str">
            <v>CODO PVC PRESION 6"</v>
          </cell>
        </row>
        <row r="98">
          <cell r="B98" t="str">
            <v>TEE φ 3*3*3"</v>
          </cell>
        </row>
        <row r="99">
          <cell r="B99" t="str">
            <v>TEE φ 4*4*4"</v>
          </cell>
        </row>
        <row r="100">
          <cell r="B100" t="str">
            <v>TEE φ 6*6*6"</v>
          </cell>
        </row>
        <row r="101">
          <cell r="B101" t="str">
            <v>TEE REDUCIDA φ 4"4"3"</v>
          </cell>
        </row>
        <row r="102">
          <cell r="B102" t="str">
            <v>BUJE 6" A 4"</v>
          </cell>
        </row>
        <row r="103">
          <cell r="B103" t="str">
            <v>BUJE 4" A 3"</v>
          </cell>
        </row>
        <row r="104">
          <cell r="B104" t="str">
            <v>CRUCE φ 3*3*3*3"</v>
          </cell>
        </row>
        <row r="105">
          <cell r="B105" t="str">
            <v>CRUCE φ 3*3*4*4"</v>
          </cell>
        </row>
        <row r="106">
          <cell r="B106" t="str">
            <v>CRUCE φ 3*6*3*6"</v>
          </cell>
        </row>
        <row r="107">
          <cell r="B107" t="str">
            <v>CRUCE φ 4*3*3*3"</v>
          </cell>
        </row>
        <row r="108">
          <cell r="B108" t="str">
            <v>CRUCE φ 4*3*4*3"</v>
          </cell>
        </row>
        <row r="109">
          <cell r="B109" t="str">
            <v>CRUCE φ 4*4*3*4"</v>
          </cell>
        </row>
        <row r="110">
          <cell r="B110" t="str">
            <v>CRUCE φ 6*3*3*4"</v>
          </cell>
        </row>
        <row r="111">
          <cell r="B111" t="str">
            <v>CRUCE φ 6*3*6*4"</v>
          </cell>
        </row>
        <row r="112">
          <cell r="B112" t="str">
            <v>CRUCE φ 12*6*6*3"</v>
          </cell>
        </row>
        <row r="113">
          <cell r="B113" t="str">
            <v>CRUCE φ 6*6*3*3"</v>
          </cell>
        </row>
        <row r="114">
          <cell r="B114" t="str">
            <v>VALVULA φ 3"</v>
          </cell>
        </row>
        <row r="115">
          <cell r="B115" t="str">
            <v>VALVULA φ 4"</v>
          </cell>
        </row>
        <row r="116">
          <cell r="B116" t="str">
            <v>VALVULA φ 6"</v>
          </cell>
        </row>
        <row r="117">
          <cell r="B117" t="str">
            <v>HIDRANTE 3" CON SALIDA EN 2 1/2"</v>
          </cell>
        </row>
        <row r="118">
          <cell r="B118" t="str">
            <v>UNION DRESSER φ 3"</v>
          </cell>
        </row>
        <row r="119">
          <cell r="B119" t="str">
            <v>UNION DRESSER φ 4"</v>
          </cell>
        </row>
        <row r="120">
          <cell r="B120" t="str">
            <v>UNION DRESSER φ 6"</v>
          </cell>
        </row>
        <row r="121">
          <cell r="B121" t="str">
            <v>UNION DRESSER φ 12"</v>
          </cell>
        </row>
        <row r="122">
          <cell r="B122" t="str">
            <v>LUBRICANTE PVC</v>
          </cell>
        </row>
        <row r="123">
          <cell r="B123" t="str">
            <v>CODO H.D. 3" EXT. LISO</v>
          </cell>
        </row>
        <row r="124">
          <cell r="B124" t="str">
            <v>TUBERIA ALCANTARILLADO PVC 8"</v>
          </cell>
        </row>
        <row r="125">
          <cell r="B125" t="str">
            <v>TUBERIA ALCANTARILLADO PVC 10"</v>
          </cell>
        </row>
        <row r="126">
          <cell r="B126" t="str">
            <v>CODO ALCANTARILLADO 10"</v>
          </cell>
        </row>
        <row r="127">
          <cell r="B127" t="str">
            <v>TEE ALCANTARILLADO 10"</v>
          </cell>
        </row>
        <row r="128">
          <cell r="B128" t="str">
            <v>ARO TAPA PARA POZO D=1,70 m</v>
          </cell>
        </row>
        <row r="129">
          <cell r="B129" t="str">
            <v>ADAPTADOR TERMINAL CONDUIT PVC ½"</v>
          </cell>
        </row>
        <row r="130">
          <cell r="B130" t="str">
            <v>ADAPTADOR TERMINAL CONDUIT PVC ¾"</v>
          </cell>
        </row>
        <row r="131">
          <cell r="B131" t="str">
            <v>ADAPTADOR TERMINAL CONDUIT PVC 1"</v>
          </cell>
        </row>
        <row r="132">
          <cell r="B132" t="str">
            <v>ARENA DE PEÑA</v>
          </cell>
        </row>
        <row r="133">
          <cell r="B133" t="str">
            <v>BOMBILLO INCANDECENTE 100W</v>
          </cell>
        </row>
        <row r="134">
          <cell r="B134" t="str">
            <v>BOQUILLA + CONTRATUERCA DE 1"</v>
          </cell>
        </row>
        <row r="135">
          <cell r="B135" t="str">
            <v>BORNA DE PONCHAR 10-12 AWG</v>
          </cell>
        </row>
        <row r="136">
          <cell r="B136" t="str">
            <v>BORNA DE PONCHAR 8 AWG UN HUECO</v>
          </cell>
        </row>
        <row r="137">
          <cell r="B137" t="str">
            <v>BREAKER MULTI9 MONOPOLAR C60N 50A</v>
          </cell>
        </row>
        <row r="138">
          <cell r="B138" t="str">
            <v>CABLE ANTIFRAUDE 1 x 8 + 1 x 8 AWG NEUTRO CONCENTRICO</v>
          </cell>
        </row>
        <row r="139">
          <cell r="B139" t="str">
            <v>CABLE DESNUDO 12 AWG COBRE</v>
          </cell>
        </row>
        <row r="140">
          <cell r="B140" t="str">
            <v>CABLE DESNUDO 4 AWG COBRE</v>
          </cell>
        </row>
        <row r="141">
          <cell r="B141" t="str">
            <v>CABLE TELEFONICO 2 x 0.6 INTERIOR</v>
          </cell>
        </row>
        <row r="142">
          <cell r="B142" t="str">
            <v>CABLE THWN 10 AWG 600V COBRE</v>
          </cell>
        </row>
        <row r="143">
          <cell r="B143" t="str">
            <v>CABLE THWN 12 AWG 600V COBRE</v>
          </cell>
        </row>
        <row r="144">
          <cell r="B144" t="str">
            <v>CABLE THWN 8 AWG 600V COBRE</v>
          </cell>
        </row>
        <row r="145">
          <cell r="B145" t="str">
            <v>CAJA PARA 1 CONTADOR AE 301 - ET 901 300 x 185 x 185</v>
          </cell>
        </row>
        <row r="146">
          <cell r="B146" t="str">
            <v>CAJA PVC Ref. 2400</v>
          </cell>
        </row>
        <row r="147">
          <cell r="B147" t="str">
            <v>CAJA PVC Ref. 5800</v>
          </cell>
        </row>
        <row r="148">
          <cell r="B148" t="str">
            <v>CAPACETE ALUMINIO 1"</v>
          </cell>
        </row>
        <row r="149">
          <cell r="B149" t="str">
            <v>CEMENTO GRIS</v>
          </cell>
        </row>
        <row r="150">
          <cell r="B150" t="str">
            <v>CINTA BAND-IT 5/8"</v>
          </cell>
        </row>
        <row r="151">
          <cell r="B151" t="str">
            <v>CURVA CONDUIT GALVANIZADA Ø= 1"</v>
          </cell>
        </row>
        <row r="152">
          <cell r="B152" t="str">
            <v>CURVA CONDUIT PVC 90° ½"</v>
          </cell>
        </row>
        <row r="153">
          <cell r="B153" t="str">
            <v>CURVA CONDUIT PVC 90° ¾"</v>
          </cell>
        </row>
        <row r="154">
          <cell r="B154" t="str">
            <v>CURVA CONDUIT PVC 90° 1"</v>
          </cell>
        </row>
        <row r="155">
          <cell r="B155" t="str">
            <v>HEBILLA PARA BAND-IT 5/8"</v>
          </cell>
        </row>
        <row r="156">
          <cell r="B156" t="str">
            <v>INTERRUPTOR SENCILLO LUMINEX</v>
          </cell>
        </row>
        <row r="157">
          <cell r="B157" t="str">
            <v>JUEGO (MARCO Y TAPA) 30 x 30 ORNAMENTAL</v>
          </cell>
        </row>
        <row r="158">
          <cell r="B158" t="str">
            <v>LADRILLO RECOCIDO</v>
          </cell>
        </row>
        <row r="159">
          <cell r="B159" t="str">
            <v>LIMPIADOR REMOVEDOR PVC (300g) 16 oz.</v>
          </cell>
        </row>
        <row r="160">
          <cell r="B160" t="str">
            <v>MEDIDOR MONOFASICO 15/60A 120V</v>
          </cell>
        </row>
        <row r="161">
          <cell r="B161" t="str">
            <v>MIXTO DE RIO</v>
          </cell>
        </row>
        <row r="162">
          <cell r="B162" t="str">
            <v>RECEBO</v>
          </cell>
        </row>
        <row r="163">
          <cell r="B163" t="str">
            <v>SOLDADURA LIQUIDA PVC 1/8 GAL.</v>
          </cell>
        </row>
        <row r="164">
          <cell r="B164" t="str">
            <v>TABLERO MONOF. TML-6 6 CTOS SQUARE-D</v>
          </cell>
        </row>
        <row r="165">
          <cell r="B165" t="str">
            <v>TACO ENCHUFABLE DSE 1 x 20 A. C.I. 10KA.</v>
          </cell>
        </row>
        <row r="166">
          <cell r="B166" t="str">
            <v>TACO ENCHUFABLE DSE 1 x 30 A. C.I. 10KA.</v>
          </cell>
        </row>
        <row r="167">
          <cell r="B167" t="str">
            <v>TACO ENCHUFABLE DSE 1 x 50 A. C.I. 10KA.</v>
          </cell>
        </row>
        <row r="168">
          <cell r="B168" t="str">
            <v>TOMA PARA T.V. LUMINEX</v>
          </cell>
        </row>
        <row r="169">
          <cell r="B169" t="str">
            <v>TOMA TELEFONICA RJ11 TIPO AMERICANA LUMINEX</v>
          </cell>
        </row>
        <row r="170">
          <cell r="B170" t="str">
            <v>TOMACORRIENTE DOBLE CON POLO A TIERRA LUMINEX</v>
          </cell>
        </row>
        <row r="171">
          <cell r="B171" t="str">
            <v>TOMACORRIENTE DOBLE GFCI</v>
          </cell>
        </row>
        <row r="172">
          <cell r="B172" t="str">
            <v>TOMACORRIENTE PATA TRABADA 15A</v>
          </cell>
        </row>
        <row r="173">
          <cell r="B173" t="str">
            <v>TUBO CONDUIT GALVANIZADA ½" + UNION</v>
          </cell>
        </row>
        <row r="174">
          <cell r="B174" t="str">
            <v>TUBO CONDUIT GALVANIZADA 1" + UNION</v>
          </cell>
        </row>
        <row r="175">
          <cell r="B175" t="str">
            <v>TUBO CONDUIT PVC Ø=¾"</v>
          </cell>
        </row>
        <row r="176">
          <cell r="B176" t="str">
            <v>VARILLA COBRE-COBRE 5/8" x 2.40 MTS</v>
          </cell>
        </row>
        <row r="182">
          <cell r="B182">
            <v>0</v>
          </cell>
        </row>
        <row r="183">
          <cell r="B183">
            <v>0</v>
          </cell>
        </row>
        <row r="184">
          <cell r="B184">
            <v>0</v>
          </cell>
        </row>
        <row r="186">
          <cell r="B186" t="str">
            <v>MATERIAL</v>
          </cell>
        </row>
        <row r="187">
          <cell r="B187" t="str">
            <v>AISLADOR CARRETE ANSI 53-3</v>
          </cell>
        </row>
        <row r="188">
          <cell r="B188" t="str">
            <v>AISLADOR DE PIN 55-4 13.2 KV</v>
          </cell>
        </row>
        <row r="189">
          <cell r="B189" t="str">
            <v>AISLADOR PIN 55-5 15KV.</v>
          </cell>
        </row>
        <row r="190">
          <cell r="B190" t="str">
            <v>AISLADOR SUSPENSION 52-1 15 KV. 6"</v>
          </cell>
        </row>
        <row r="191">
          <cell r="B191" t="str">
            <v>AISLADOR TENSOR 54-2 15KV</v>
          </cell>
        </row>
        <row r="192">
          <cell r="B192" t="str">
            <v>AISLADOR TIPO CARRETE ANSI 53-3</v>
          </cell>
        </row>
        <row r="193">
          <cell r="B193" t="str">
            <v>ALAMBRE GALVANIZADO No.12 AWG</v>
          </cell>
        </row>
        <row r="194">
          <cell r="B194" t="str">
            <v>ARRIMADA DE MATERIAL</v>
          </cell>
        </row>
        <row r="195">
          <cell r="B195" t="str">
            <v>ASESORIA Y OBTENCION DE CERTIFICACION</v>
          </cell>
        </row>
        <row r="196">
          <cell r="B196" t="str">
            <v>AYUDANTE DE INSTALACIONES</v>
          </cell>
        </row>
        <row r="197">
          <cell r="B197" t="str">
            <v>BORNA DE PONCHAR 2/0 AWG UN HUECO</v>
          </cell>
        </row>
        <row r="198">
          <cell r="B198" t="str">
            <v>CABLE ACERO GALVA 9.5mm (3/8")</v>
          </cell>
        </row>
        <row r="199">
          <cell r="B199" t="str">
            <v>CABLE ACSR 2 AWG</v>
          </cell>
        </row>
        <row r="200">
          <cell r="B200" t="str">
            <v>CABLE ACSR 2/0 AWG.</v>
          </cell>
        </row>
        <row r="201">
          <cell r="B201" t="str">
            <v>CABLE ACSR 4/0 AWG.</v>
          </cell>
        </row>
        <row r="202">
          <cell r="B202" t="str">
            <v>CABLE DESNUDO 2/0 AWG COBRE</v>
          </cell>
        </row>
        <row r="203">
          <cell r="B203" t="str">
            <v>CABLE DESNUDO 4 AWG COBRE</v>
          </cell>
        </row>
        <row r="204">
          <cell r="B204" t="str">
            <v>CABLE THWN 2/0 AWG 600V COBRE</v>
          </cell>
        </row>
        <row r="205">
          <cell r="B205" t="str">
            <v>CABLE THWN 4/0 AWG 600V COBRE</v>
          </cell>
        </row>
        <row r="206">
          <cell r="B206" t="str">
            <v>CAJA DERIVACION B.T. RED TRENZADA</v>
          </cell>
        </row>
        <row r="207">
          <cell r="B207" t="str">
            <v>CAMA BAJA</v>
          </cell>
        </row>
        <row r="208">
          <cell r="B208" t="str">
            <v>CANASTA LINEA VIVA</v>
          </cell>
        </row>
        <row r="209">
          <cell r="B209" t="str">
            <v>CINTA BAND-IT 1/2"</v>
          </cell>
        </row>
        <row r="210">
          <cell r="B210" t="str">
            <v>COLLARIN 1 SALIDA 8-10 200 MM TIPO 3</v>
          </cell>
        </row>
        <row r="211">
          <cell r="B211" t="str">
            <v>COLLARIN SIN SALIDA 6-8 180MM TIPO 2</v>
          </cell>
        </row>
        <row r="212">
          <cell r="B212" t="str">
            <v>COLLARIN U No.1 P/CTA 150MM</v>
          </cell>
        </row>
        <row r="213">
          <cell r="B213" t="str">
            <v>COLLARIN U No.2 P/CTA 180 MM</v>
          </cell>
        </row>
        <row r="214">
          <cell r="B214" t="str">
            <v>CONECTOR COMPRESION (3/0-4/0) a (1-2/0) DBH5</v>
          </cell>
        </row>
        <row r="215">
          <cell r="B215" t="str">
            <v>CONECTOR COMPRESION (3/0-4/0) a (3/0-4/0) DBH7</v>
          </cell>
        </row>
        <row r="216">
          <cell r="B216" t="str">
            <v>CONECTOR RANURAS PARALELAS 1 PERNO No.4 CABLE 4/0</v>
          </cell>
        </row>
        <row r="217">
          <cell r="B217" t="str">
            <v>CONECTOR RANURAS PARALELAS 2 PERNOS CABLE 4/0-4</v>
          </cell>
        </row>
        <row r="218">
          <cell r="B218" t="str">
            <v>CONECTOR TIPO TORNILLO PARA PUESTA A TIERRA KSU-22</v>
          </cell>
        </row>
        <row r="219">
          <cell r="B219" t="str">
            <v>CONECTOR VARILLA COOPER WELL 5/8</v>
          </cell>
        </row>
        <row r="220">
          <cell r="B220" t="str">
            <v>CORTACIRCUITO CAÑUELA 15 KV EEB</v>
          </cell>
        </row>
        <row r="221">
          <cell r="B221" t="str">
            <v>CRUCETA MADERA  INMUNIZADA 2.5m</v>
          </cell>
        </row>
        <row r="222">
          <cell r="B222" t="str">
            <v>CRUCETA MADERA LIMATON INMUNIZADO 4.00m</v>
          </cell>
        </row>
        <row r="223">
          <cell r="B223" t="str">
            <v>CRUCETA METALICA GALVANIZADA DE 1.5 MTS 2½" x 1¼"</v>
          </cell>
        </row>
        <row r="224">
          <cell r="B224" t="str">
            <v>CRUCETA METALICA GALVANIZADA DE 1.5MT 2½"x3/16"</v>
          </cell>
        </row>
        <row r="225">
          <cell r="B225" t="str">
            <v>CRUCETA METALICA GALVANIZADA DE 2.0 MTS 2½" x 3/16"</v>
          </cell>
        </row>
        <row r="226">
          <cell r="B226" t="str">
            <v>CRUCETA METALICA GALVANIZADA DE 2.0 MTS 2½" x 3/16" RETENCION</v>
          </cell>
        </row>
        <row r="227">
          <cell r="B227" t="str">
            <v>CRUCETA METALICA GALVANIZADA DE 2.4 MTS 2½" x 3/16"</v>
          </cell>
        </row>
        <row r="228">
          <cell r="B228" t="str">
            <v>CRUCETA METALICA GALVANIZADA DE 5.0 MTS 3" x ¼"</v>
          </cell>
        </row>
        <row r="229">
          <cell r="B229" t="str">
            <v>DIAGONAL EN ANGULO TIPO BANDERA DE 1½"x3/16"x1.77MT</v>
          </cell>
        </row>
        <row r="230">
          <cell r="B230" t="str">
            <v>DIAGONAL RECTA CRUCETA METALICA DE 1½" x 3/16" x 1.10 MTS</v>
          </cell>
        </row>
        <row r="231">
          <cell r="B231" t="str">
            <v>DIAGONAL RECTA CRUCETA METALICA DE 1½" x 3/16" x 1.5 MTS</v>
          </cell>
        </row>
        <row r="232">
          <cell r="B232" t="str">
            <v>DIAGONAL VARILLA 3/4" x 0.77 MTS TIPO 2</v>
          </cell>
        </row>
        <row r="233">
          <cell r="B233" t="str">
            <v>DIAGONAL VARILLA 5/8"x0.77MT TIPO 1</v>
          </cell>
        </row>
        <row r="234">
          <cell r="B234" t="str">
            <v>ESPARRAGO DE 5/8" x 18"</v>
          </cell>
        </row>
        <row r="235">
          <cell r="B235" t="str">
            <v>ESPARRAGO DE 5/8" x 20"</v>
          </cell>
        </row>
        <row r="236">
          <cell r="B236" t="str">
            <v>ESPIGO CRUCETA METALICA DE ¾" x 8" 13.2kV</v>
          </cell>
        </row>
        <row r="237">
          <cell r="B237" t="str">
            <v>ESPIGO CRUCETA METALICA DE 5/8" x 7 1/2" 13.2kV</v>
          </cell>
        </row>
        <row r="238">
          <cell r="B238" t="str">
            <v>Excavación a mano o con equipo, cualquier tipo de terreno,  excepto el rocoso.</v>
          </cell>
        </row>
        <row r="239">
          <cell r="B239" t="str">
            <v>FUSIBLE K Y T 15A 15kV</v>
          </cell>
        </row>
        <row r="240">
          <cell r="B240" t="str">
            <v>FUSIBLE NH-2 200 AMPERIOS</v>
          </cell>
        </row>
        <row r="241">
          <cell r="B241" t="str">
            <v>GRAPA DE OPERAR EN CALIENTE</v>
          </cell>
        </row>
        <row r="242">
          <cell r="B242" t="str">
            <v>GRAPA PRENSADORA DE 1½" x ¼" x 6" 3PERNOS</v>
          </cell>
        </row>
        <row r="243">
          <cell r="B243" t="str">
            <v>GRAPA RETENCION RECTA 2/0-4/0</v>
          </cell>
        </row>
        <row r="244">
          <cell r="B244" t="str">
            <v>GRAPA RETENCION RECTA 6 - 2/0</v>
          </cell>
        </row>
        <row r="245">
          <cell r="B245" t="str">
            <v>GRUA PARA POSTERIA</v>
          </cell>
        </row>
        <row r="246">
          <cell r="B246" t="str">
            <v>GUARDACABO PESADO 1/2"</v>
          </cell>
        </row>
        <row r="247">
          <cell r="B247" t="str">
            <v>GUARDACABO PESADO 3/8</v>
          </cell>
        </row>
        <row r="248">
          <cell r="B248" t="str">
            <v>HEBILLA PARA BAND IT ½"</v>
          </cell>
        </row>
        <row r="249">
          <cell r="B249" t="str">
            <v>HERRAJE</v>
          </cell>
        </row>
        <row r="250">
          <cell r="B250" t="str">
            <v>HERRAMIENTA MENOR</v>
          </cell>
        </row>
        <row r="251">
          <cell r="B251" t="str">
            <v>INGENIERO ELECTRICO</v>
          </cell>
        </row>
        <row r="252">
          <cell r="B252" t="str">
            <v>Montaje transformador trifásico en poste hasta 150 KVA.</v>
          </cell>
        </row>
        <row r="253">
          <cell r="B253" t="str">
            <v>OFICIAL INSTALACIONES</v>
          </cell>
        </row>
        <row r="254">
          <cell r="B254" t="str">
            <v>PARARRAYO 10kA 15kV DISTRIBUCION</v>
          </cell>
        </row>
        <row r="255">
          <cell r="B255" t="str">
            <v>PERCHA PORTA AISLADOR 1 PUESTO TIPO PESADO</v>
          </cell>
        </row>
        <row r="256">
          <cell r="B256" t="str">
            <v>PERNO DE OJO DE 5/8" x 10"</v>
          </cell>
        </row>
        <row r="257">
          <cell r="B257" t="str">
            <v>PERNO DE OJO DE 5/8" x 12"</v>
          </cell>
        </row>
        <row r="258">
          <cell r="B258" t="str">
            <v>PERNO DE OJO DE 5/8" x 18"</v>
          </cell>
        </row>
        <row r="259">
          <cell r="B259" t="str">
            <v>PERNO DE OJO DE 5/8"x20"</v>
          </cell>
        </row>
        <row r="260">
          <cell r="B260" t="str">
            <v>POSTE CONCRETO  10M  510KG</v>
          </cell>
        </row>
        <row r="261">
          <cell r="B261" t="str">
            <v>POSTE CONCRETO  12M  1050KG</v>
          </cell>
        </row>
        <row r="262">
          <cell r="B262" t="str">
            <v>POSTE CONCRETO  12M  510KG</v>
          </cell>
        </row>
        <row r="263">
          <cell r="B263" t="str">
            <v>POSTE CONCRETO  12M 750 KG</v>
          </cell>
        </row>
        <row r="264">
          <cell r="B264" t="str">
            <v>SECCIONADOR MONOPOLAR 14.4 KV 600A</v>
          </cell>
        </row>
        <row r="265">
          <cell r="B265" t="str">
            <v>SECCIONADOR MONOPOLAR 400A 15kV</v>
          </cell>
        </row>
        <row r="266">
          <cell r="B266" t="str">
            <v>TORNILLO CARRIAJE 5/8"x1½"</v>
          </cell>
        </row>
        <row r="267">
          <cell r="B267" t="str">
            <v>TORNILLO DE ACERO GALVANIZADO 5/8" x 2"</v>
          </cell>
        </row>
        <row r="268">
          <cell r="B268" t="str">
            <v>TORNILLO DE ACERO GALVANIZADO 5/8" x 5"</v>
          </cell>
        </row>
        <row r="269">
          <cell r="B269" t="str">
            <v>TORNILLO DE ACERO GALVANIZADO 5/8" x 6"</v>
          </cell>
        </row>
        <row r="270">
          <cell r="B270" t="str">
            <v>TORNILLO DE ACERO GALVANIZADO 5/8" x 8"</v>
          </cell>
        </row>
        <row r="271">
          <cell r="B271" t="str">
            <v>TORNILLO DE ACERO GALVANIZADO 5/8"x10"</v>
          </cell>
        </row>
        <row r="272">
          <cell r="B272" t="str">
            <v>TRANSFORMADOR MONOFASICO ACEITE 75 KVA 7620/120V</v>
          </cell>
        </row>
        <row r="273">
          <cell r="B273" t="str">
            <v>TRANSPORTE GENERAL</v>
          </cell>
        </row>
        <row r="274">
          <cell r="B274" t="str">
            <v>TUBO CONDUIT GALVANIZADA 1½" + UNION</v>
          </cell>
        </row>
        <row r="275">
          <cell r="B275" t="str">
            <v>TUERCA OJO ALARGADO DE 5/8"</v>
          </cell>
        </row>
        <row r="276">
          <cell r="B276" t="str">
            <v>VARILLA ANCLAJE 3/4"x2 M</v>
          </cell>
        </row>
        <row r="277">
          <cell r="B277" t="str">
            <v>VARILLA ANCLAJE 5/8" x 1.50MTS</v>
          </cell>
        </row>
        <row r="278">
          <cell r="B278" t="str">
            <v>VARILLA PUESTA A TIERRA ELECTRODEPOSITADA 5/8 x 2.40 MTS Y CONECTOR</v>
          </cell>
        </row>
        <row r="279">
          <cell r="B279" t="str">
            <v>VIGUETA DE CONCRETO PIRAMIDAL 15kV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8">
          <cell r="B8" t="str">
            <v>ACERO CORRU./FIG. PR-60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>
        <row r="8">
          <cell r="B8" t="str">
            <v>ACERO CORRU./FIG. PR-60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>
        <row r="8">
          <cell r="B8" t="str">
            <v>ACERO CORRU./FIG. PR-60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>
        <row r="8">
          <cell r="B8" t="str">
            <v>ACERO CORRU./FIG. PR-60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>
        <row r="8">
          <cell r="B8" t="str">
            <v>ACERO CORRU./FIG. PR-60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OBRAS "/>
      <sheetName val="ResumenGeneral"/>
      <sheetName val="BOCATOMA"/>
      <sheetName val="APU BOCATOMA"/>
      <sheetName val="ADUCCIÓN"/>
      <sheetName val="APU ADUCCIÓN"/>
      <sheetName val="TANQUE DE ALMACENAMIENTO"/>
      <sheetName val="APU TANQUE ALMAC"/>
      <sheetName val=" REDES DE DISTRI"/>
      <sheetName val="APU_Redes"/>
      <sheetName val="CASETA DE OPERACIONES"/>
      <sheetName val="APU CASETA DE OPERACIONES"/>
      <sheetName val="BASE CTOS"/>
      <sheetName val="BASE"/>
      <sheetName val="RESUMEN_OBRAS_"/>
      <sheetName val="APU_BOCATOMA"/>
      <sheetName val="APU_ADUCCIÓN"/>
      <sheetName val="TANQUE_DE_ALMACENAMIENTO"/>
      <sheetName val="APU_TANQUE_ALMAC"/>
      <sheetName val="_REDES_DE_DISTRI"/>
      <sheetName val="CASETA_DE_OPERACIONES"/>
      <sheetName val="APU_CASETA_DE_OPERACIONES"/>
      <sheetName val="BASE_CTOS"/>
      <sheetName val="RESUMEN_OBRAS_1"/>
      <sheetName val="APU_BOCATOMA1"/>
      <sheetName val="APU_ADUCCIÓN1"/>
      <sheetName val="TANQUE_DE_ALMACENAMIENTO1"/>
      <sheetName val="APU_TANQUE_ALMAC1"/>
      <sheetName val="_REDES_DE_DISTRI1"/>
      <sheetName val="CASETA_DE_OPERACIONES1"/>
      <sheetName val="APU_CASETA_DE_OPERACIONES1"/>
      <sheetName val="BASE_CTOS1"/>
      <sheetName val="RESUMEN_OBRAS_5"/>
      <sheetName val="APU_BOCATOMA5"/>
      <sheetName val="APU_ADUCCIÓN5"/>
      <sheetName val="TANQUE_DE_ALMACENAMIENTO5"/>
      <sheetName val="APU_TANQUE_ALMAC5"/>
      <sheetName val="_REDES_DE_DISTRI5"/>
      <sheetName val="CASETA_DE_OPERACIONES5"/>
      <sheetName val="APU_CASETA_DE_OPERACIONES5"/>
      <sheetName val="BASE_CTOS5"/>
      <sheetName val="RESUMEN_OBRAS_2"/>
      <sheetName val="APU_BOCATOMA2"/>
      <sheetName val="APU_ADUCCIÓN2"/>
      <sheetName val="TANQUE_DE_ALMACENAMIENTO2"/>
      <sheetName val="APU_TANQUE_ALMAC2"/>
      <sheetName val="_REDES_DE_DISTRI2"/>
      <sheetName val="CASETA_DE_OPERACIONES2"/>
      <sheetName val="APU_CASETA_DE_OPERACIONES2"/>
      <sheetName val="BASE_CTOS2"/>
      <sheetName val="RESUMEN_OBRAS_3"/>
      <sheetName val="APU_BOCATOMA3"/>
      <sheetName val="APU_ADUCCIÓN3"/>
      <sheetName val="TANQUE_DE_ALMACENAMIENTO3"/>
      <sheetName val="APU_TANQUE_ALMAC3"/>
      <sheetName val="_REDES_DE_DISTRI3"/>
      <sheetName val="CASETA_DE_OPERACIONES3"/>
      <sheetName val="APU_CASETA_DE_OPERACIONES3"/>
      <sheetName val="BASE_CTOS3"/>
      <sheetName val="RESUMEN_OBRAS_4"/>
      <sheetName val="APU_BOCATOMA4"/>
      <sheetName val="APU_ADUCCIÓN4"/>
      <sheetName val="TANQUE_DE_ALMACENAMIENTO4"/>
      <sheetName val="APU_TANQUE_ALMAC4"/>
      <sheetName val="_REDES_DE_DISTRI4"/>
      <sheetName val="CASETA_DE_OPERACIONES4"/>
      <sheetName val="APU_CASETA_DE_OPERACIONES4"/>
      <sheetName val="BASE_CTOS4"/>
      <sheetName val="RESUMEN_OBRAS_6"/>
      <sheetName val="APU_BOCATOMA6"/>
      <sheetName val="APU_ADUCCIÓN6"/>
      <sheetName val="TANQUE_DE_ALMACENAMIENTO6"/>
      <sheetName val="APU_TANQUE_ALMAC6"/>
      <sheetName val="_REDES_DE_DISTRI6"/>
      <sheetName val="CASETA_DE_OPERACIONES6"/>
      <sheetName val="APU_CASETA_DE_OPERACIONES6"/>
      <sheetName val="BASE_CTOS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65">
          <cell r="D365">
            <v>4930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 CASA FINAL"/>
      <sheetName val="A.P.U."/>
      <sheetName val="A.P.U. NUEVO"/>
      <sheetName val="INSUMOS FINAL"/>
      <sheetName val="INSUMOS"/>
      <sheetName val="CALCULO DEL AIU"/>
      <sheetName val="EQUIPOS Y TRANS."/>
      <sheetName val="SALARIOS"/>
      <sheetName val="A.P.U. REFERENCIA IDU"/>
      <sheetName val="EQUIPO"/>
      <sheetName val="SUELDOS Y JORNALES"/>
      <sheetName val="TRANSPORTES Y ACARREOS"/>
      <sheetName val="Presupuesto para Entregar"/>
      <sheetName val="PRESUPUESTO_CASA_FINAL"/>
      <sheetName val="A_P_U_"/>
      <sheetName val="A_P_U__NUEVO"/>
      <sheetName val="INSUMOS_FINAL"/>
      <sheetName val="CALCULO_DEL_AIU"/>
      <sheetName val="EQUIPOS_Y_TRANS_"/>
      <sheetName val="A_P_U__REFERENCIA_IDU"/>
      <sheetName val="SUELDOS_Y_JORNALES"/>
      <sheetName val="TRANSPORTES_Y_ACARREOS"/>
      <sheetName val="Presupuesto_para_Entregar"/>
      <sheetName val="PRESUPUESTO_CASA_FINAL1"/>
      <sheetName val="A_P_U_1"/>
      <sheetName val="A_P_U__NUEVO1"/>
      <sheetName val="INSUMOS_FINAL1"/>
      <sheetName val="CALCULO_DEL_AIU1"/>
      <sheetName val="EQUIPOS_Y_TRANS_1"/>
      <sheetName val="A_P_U__REFERENCIA_IDU1"/>
      <sheetName val="SUELDOS_Y_JORNALES1"/>
      <sheetName val="TRANSPORTES_Y_ACARREOS1"/>
      <sheetName val="Presupuesto_para_Entregar1"/>
      <sheetName val="PRESUPUESTO_CASA_FINAL5"/>
      <sheetName val="A_P_U_5"/>
      <sheetName val="A_P_U__NUEVO5"/>
      <sheetName val="INSUMOS_FINAL5"/>
      <sheetName val="CALCULO_DEL_AIU5"/>
      <sheetName val="EQUIPOS_Y_TRANS_5"/>
      <sheetName val="A_P_U__REFERENCIA_IDU5"/>
      <sheetName val="SUELDOS_Y_JORNALES5"/>
      <sheetName val="TRANSPORTES_Y_ACARREOS5"/>
      <sheetName val="Presupuesto_para_Entregar5"/>
      <sheetName val="PRESUPUESTO_CASA_FINAL2"/>
      <sheetName val="A_P_U_2"/>
      <sheetName val="A_P_U__NUEVO2"/>
      <sheetName val="INSUMOS_FINAL2"/>
      <sheetName val="CALCULO_DEL_AIU2"/>
      <sheetName val="EQUIPOS_Y_TRANS_2"/>
      <sheetName val="A_P_U__REFERENCIA_IDU2"/>
      <sheetName val="SUELDOS_Y_JORNALES2"/>
      <sheetName val="TRANSPORTES_Y_ACARREOS2"/>
      <sheetName val="Presupuesto_para_Entregar2"/>
      <sheetName val="PRESUPUESTO_CASA_FINAL3"/>
      <sheetName val="A_P_U_3"/>
      <sheetName val="A_P_U__NUEVO3"/>
      <sheetName val="INSUMOS_FINAL3"/>
      <sheetName val="CALCULO_DEL_AIU3"/>
      <sheetName val="EQUIPOS_Y_TRANS_3"/>
      <sheetName val="A_P_U__REFERENCIA_IDU3"/>
      <sheetName val="SUELDOS_Y_JORNALES3"/>
      <sheetName val="TRANSPORTES_Y_ACARREOS3"/>
      <sheetName val="Presupuesto_para_Entregar3"/>
      <sheetName val="PRESUPUESTO_CASA_FINAL4"/>
      <sheetName val="A_P_U_4"/>
      <sheetName val="A_P_U__NUEVO4"/>
      <sheetName val="INSUMOS_FINAL4"/>
      <sheetName val="CALCULO_DEL_AIU4"/>
      <sheetName val="EQUIPOS_Y_TRANS_4"/>
      <sheetName val="A_P_U__REFERENCIA_IDU4"/>
      <sheetName val="SUELDOS_Y_JORNALES4"/>
      <sheetName val="TRANSPORTES_Y_ACARREOS4"/>
      <sheetName val="Presupuesto_para_Entregar4"/>
      <sheetName val="PRESUPUESTO_CASA_FINAL6"/>
      <sheetName val="A_P_U_6"/>
      <sheetName val="A_P_U__NUEVO6"/>
      <sheetName val="INSUMOS_FINAL6"/>
      <sheetName val="CALCULO_DEL_AIU6"/>
      <sheetName val="EQUIPOS_Y_TRANS_6"/>
      <sheetName val="A_P_U__REFERENCIA_IDU6"/>
      <sheetName val="SUELDOS_Y_JORNALES6"/>
      <sheetName val="TRANSPORTES_Y_ACARREOS6"/>
      <sheetName val="Presupuesto_para_Entregar6"/>
    </sheetNames>
    <sheetDataSet>
      <sheetData sheetId="0"/>
      <sheetData sheetId="1"/>
      <sheetData sheetId="2"/>
      <sheetData sheetId="3">
        <row r="8">
          <cell r="B8" t="str">
            <v>ACERO CORRU./FIG. PR-60</v>
          </cell>
        </row>
      </sheetData>
      <sheetData sheetId="4"/>
      <sheetData sheetId="5"/>
      <sheetData sheetId="6">
        <row r="6">
          <cell r="A6" t="str">
            <v>ANDAMIO TUBULAR</v>
          </cell>
        </row>
      </sheetData>
      <sheetData sheetId="7"/>
      <sheetData sheetId="8"/>
      <sheetData sheetId="9"/>
      <sheetData sheetId="10">
        <row r="5">
          <cell r="C5" t="str">
            <v>AYUDANTE</v>
          </cell>
        </row>
      </sheetData>
      <sheetData sheetId="11"/>
      <sheetData sheetId="12"/>
      <sheetData sheetId="13"/>
      <sheetData sheetId="14"/>
      <sheetData sheetId="15"/>
      <sheetData sheetId="16">
        <row r="8">
          <cell r="B8" t="str">
            <v>ACERO CORRU./FIG. PR-60</v>
          </cell>
        </row>
      </sheetData>
      <sheetData sheetId="17"/>
      <sheetData sheetId="18">
        <row r="6">
          <cell r="A6" t="str">
            <v>ANDAMIO TUBULAR</v>
          </cell>
        </row>
      </sheetData>
      <sheetData sheetId="19"/>
      <sheetData sheetId="20">
        <row r="5">
          <cell r="C5" t="str">
            <v>AYUDANTE</v>
          </cell>
        </row>
        <row r="6">
          <cell r="C6" t="str">
            <v>OFICIAL_JR</v>
          </cell>
        </row>
        <row r="7">
          <cell r="C7" t="str">
            <v>OFICIAL_HR</v>
          </cell>
        </row>
        <row r="8">
          <cell r="C8" t="str">
            <v>AYUDANTE</v>
          </cell>
        </row>
        <row r="9">
          <cell r="C9" t="str">
            <v>TECNICO ELECTRICO_1</v>
          </cell>
        </row>
        <row r="10">
          <cell r="C10" t="str">
            <v>TECNICO ELECTRICO</v>
          </cell>
        </row>
        <row r="11">
          <cell r="C11" t="str">
            <v>PLOMERO_1</v>
          </cell>
        </row>
        <row r="12">
          <cell r="C12" t="str">
            <v>PLOMERO</v>
          </cell>
        </row>
        <row r="13">
          <cell r="C13" t="str">
            <v>SMMLV</v>
          </cell>
        </row>
        <row r="14">
          <cell r="C14" t="str">
            <v>AUXILIO DE TRANSPORTE</v>
          </cell>
        </row>
        <row r="15">
          <cell r="C15" t="str">
            <v>TOPOG. + AUX. + CAD. JR</v>
          </cell>
        </row>
        <row r="16">
          <cell r="C16" t="str">
            <v>TOPOG. + AUX. + CAD. HR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8">
          <cell r="B8" t="str">
            <v>ACERO CORRU./FIG. PR-60</v>
          </cell>
        </row>
      </sheetData>
      <sheetData sheetId="37"/>
      <sheetData sheetId="38">
        <row r="6">
          <cell r="A6" t="str">
            <v>ANDAMIO TUBULAR</v>
          </cell>
        </row>
      </sheetData>
      <sheetData sheetId="39"/>
      <sheetData sheetId="40">
        <row r="5">
          <cell r="C5" t="str">
            <v>AYUDANTE</v>
          </cell>
        </row>
      </sheetData>
      <sheetData sheetId="41"/>
      <sheetData sheetId="42"/>
      <sheetData sheetId="43"/>
      <sheetData sheetId="44"/>
      <sheetData sheetId="45"/>
      <sheetData sheetId="46">
        <row r="8">
          <cell r="B8" t="str">
            <v>ACERO CORRU./FIG. PR-60</v>
          </cell>
        </row>
      </sheetData>
      <sheetData sheetId="47"/>
      <sheetData sheetId="48">
        <row r="6">
          <cell r="A6" t="str">
            <v>ANDAMIO TUBULAR</v>
          </cell>
        </row>
      </sheetData>
      <sheetData sheetId="49"/>
      <sheetData sheetId="50">
        <row r="5">
          <cell r="C5" t="str">
            <v>AYUDANTE</v>
          </cell>
        </row>
      </sheetData>
      <sheetData sheetId="51"/>
      <sheetData sheetId="52"/>
      <sheetData sheetId="53"/>
      <sheetData sheetId="54"/>
      <sheetData sheetId="55"/>
      <sheetData sheetId="56">
        <row r="8">
          <cell r="B8" t="str">
            <v>ACERO CORRU./FIG. PR-60</v>
          </cell>
        </row>
      </sheetData>
      <sheetData sheetId="57"/>
      <sheetData sheetId="58">
        <row r="6">
          <cell r="A6" t="str">
            <v>ANDAMIO TUBULAR</v>
          </cell>
        </row>
      </sheetData>
      <sheetData sheetId="59"/>
      <sheetData sheetId="60">
        <row r="5">
          <cell r="C5" t="str">
            <v>AYUDANTE</v>
          </cell>
        </row>
      </sheetData>
      <sheetData sheetId="61"/>
      <sheetData sheetId="62"/>
      <sheetData sheetId="63"/>
      <sheetData sheetId="64"/>
      <sheetData sheetId="65"/>
      <sheetData sheetId="66">
        <row r="8">
          <cell r="B8" t="str">
            <v>ACERO CORRU./FIG. PR-60</v>
          </cell>
        </row>
      </sheetData>
      <sheetData sheetId="67"/>
      <sheetData sheetId="68">
        <row r="6">
          <cell r="A6" t="str">
            <v>ANDAMIO TUBULAR</v>
          </cell>
        </row>
      </sheetData>
      <sheetData sheetId="69"/>
      <sheetData sheetId="70">
        <row r="5">
          <cell r="C5" t="str">
            <v>AYUDANTE</v>
          </cell>
        </row>
      </sheetData>
      <sheetData sheetId="71"/>
      <sheetData sheetId="72"/>
      <sheetData sheetId="73"/>
      <sheetData sheetId="74"/>
      <sheetData sheetId="75"/>
      <sheetData sheetId="76">
        <row r="8">
          <cell r="B8" t="str">
            <v>ACERO CORRU./FIG. PR-60</v>
          </cell>
        </row>
      </sheetData>
      <sheetData sheetId="77"/>
      <sheetData sheetId="78">
        <row r="6">
          <cell r="A6" t="str">
            <v>ANDAMIO TUBULAR</v>
          </cell>
        </row>
      </sheetData>
      <sheetData sheetId="79"/>
      <sheetData sheetId="80">
        <row r="5">
          <cell r="C5" t="str">
            <v>AYUDANTE</v>
          </cell>
        </row>
      </sheetData>
      <sheetData sheetId="81"/>
      <sheetData sheetId="8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OBRAS ALCANTARILLADO"/>
      <sheetName val="REDES SEC SUR"/>
      <sheetName val="APU REDES SEC SUR"/>
      <sheetName val="COLECTOR SUR "/>
      <sheetName val="APU COL SUR"/>
      <sheetName val="PTAR SUR"/>
      <sheetName val="REDES SEC NORTE"/>
      <sheetName val="APU REDES SEC NORTE"/>
      <sheetName val="COLECTOR NORTE"/>
      <sheetName val="APU COLEC NORTE"/>
      <sheetName val="PTAR NORTE"/>
      <sheetName val="APU PTAR NORTE"/>
      <sheetName val="REDES SEC Travesía."/>
      <sheetName val="APU REDES Travesía"/>
      <sheetName val="PTAR Travesía"/>
      <sheetName val="APU PTAR Travesía"/>
      <sheetName val="REDES SEC Mulatos"/>
      <sheetName val="APU REDES Mulatos"/>
      <sheetName val="PTAR Mulatos"/>
      <sheetName val="APU PTAR Mulatos"/>
      <sheetName val="REDES SEC Escuela"/>
      <sheetName val="APU REDES Escuela"/>
      <sheetName val="PTAR Escuela"/>
      <sheetName val="APU PTAR Escuela"/>
      <sheetName val="BASE CTOS"/>
      <sheetName val="BASE"/>
      <sheetName val="materiales"/>
      <sheetName val="APU PTAR SUR"/>
      <sheetName val="RESUMEN_OBRAS_ALCANTARILLADO"/>
      <sheetName val="REDES_SEC_SUR"/>
      <sheetName val="APU_REDES_SEC_SUR"/>
      <sheetName val="COLECTOR_SUR_"/>
      <sheetName val="APU_COL_SUR"/>
      <sheetName val="PTAR_SUR"/>
      <sheetName val="REDES_SEC_NORTE"/>
      <sheetName val="APU_REDES_SEC_NORTE"/>
      <sheetName val="COLECTOR_NORTE"/>
      <sheetName val="APU_COLEC_NORTE"/>
      <sheetName val="PTAR_NORTE"/>
      <sheetName val="APU_PTAR_NORTE"/>
      <sheetName val="REDES_SEC_Travesía_"/>
      <sheetName val="APU_REDES_Travesía"/>
      <sheetName val="PTAR_Travesía"/>
      <sheetName val="APU_PTAR_Travesía"/>
      <sheetName val="REDES_SEC_Mulatos"/>
      <sheetName val="APU_REDES_Mulatos"/>
      <sheetName val="PTAR_Mulatos"/>
      <sheetName val="APU_PTAR_Mulatos"/>
      <sheetName val="REDES_SEC_Escuela"/>
      <sheetName val="APU_REDES_Escuela"/>
      <sheetName val="PTAR_Escuela"/>
      <sheetName val="APU_PTAR_Escuela"/>
      <sheetName val="BASE_CTOS"/>
      <sheetName val="APU_PTAR_SUR"/>
      <sheetName val="RESUMEN_OBRAS_ALCANTARILLADO1"/>
      <sheetName val="REDES_SEC_SUR1"/>
      <sheetName val="APU_REDES_SEC_SUR1"/>
      <sheetName val="COLECTOR_SUR_1"/>
      <sheetName val="APU_COL_SUR1"/>
      <sheetName val="PTAR_SUR1"/>
      <sheetName val="REDES_SEC_NORTE1"/>
      <sheetName val="APU_REDES_SEC_NORTE1"/>
      <sheetName val="COLECTOR_NORTE1"/>
      <sheetName val="APU_COLEC_NORTE1"/>
      <sheetName val="PTAR_NORTE1"/>
      <sheetName val="APU_PTAR_NORTE1"/>
      <sheetName val="REDES_SEC_Travesía_1"/>
      <sheetName val="APU_REDES_Travesía1"/>
      <sheetName val="PTAR_Travesía1"/>
      <sheetName val="APU_PTAR_Travesía1"/>
      <sheetName val="REDES_SEC_Mulatos1"/>
      <sheetName val="APU_REDES_Mulatos1"/>
      <sheetName val="PTAR_Mulatos1"/>
      <sheetName val="APU_PTAR_Mulatos1"/>
      <sheetName val="REDES_SEC_Escuela1"/>
      <sheetName val="APU_REDES_Escuela1"/>
      <sheetName val="PTAR_Escuela1"/>
      <sheetName val="APU_PTAR_Escuela1"/>
      <sheetName val="BASE_CTOS1"/>
      <sheetName val="APU_PTAR_SUR1"/>
      <sheetName val="RESUMEN_OBRAS_ALCANTARILLADO5"/>
      <sheetName val="REDES_SEC_SUR5"/>
      <sheetName val="APU_REDES_SEC_SUR5"/>
      <sheetName val="COLECTOR_SUR_5"/>
      <sheetName val="APU_COL_SUR5"/>
      <sheetName val="PTAR_SUR5"/>
      <sheetName val="REDES_SEC_NORTE5"/>
      <sheetName val="APU_REDES_SEC_NORTE5"/>
      <sheetName val="COLECTOR_NORTE5"/>
      <sheetName val="APU_COLEC_NORTE5"/>
      <sheetName val="PTAR_NORTE5"/>
      <sheetName val="APU_PTAR_NORTE5"/>
      <sheetName val="REDES_SEC_Travesía_5"/>
      <sheetName val="APU_REDES_Travesía5"/>
      <sheetName val="PTAR_Travesía5"/>
      <sheetName val="APU_PTAR_Travesía5"/>
      <sheetName val="REDES_SEC_Mulatos5"/>
      <sheetName val="APU_REDES_Mulatos5"/>
      <sheetName val="PTAR_Mulatos5"/>
      <sheetName val="APU_PTAR_Mulatos5"/>
      <sheetName val="REDES_SEC_Escuela5"/>
      <sheetName val="APU_REDES_Escuela5"/>
      <sheetName val="PTAR_Escuela5"/>
      <sheetName val="APU_PTAR_Escuela5"/>
      <sheetName val="BASE_CTOS5"/>
      <sheetName val="APU_PTAR_SUR5"/>
      <sheetName val="RESUMEN_OBRAS_ALCANTARILLADO2"/>
      <sheetName val="REDES_SEC_SUR2"/>
      <sheetName val="APU_REDES_SEC_SUR2"/>
      <sheetName val="COLECTOR_SUR_2"/>
      <sheetName val="APU_COL_SUR2"/>
      <sheetName val="PTAR_SUR2"/>
      <sheetName val="REDES_SEC_NORTE2"/>
      <sheetName val="APU_REDES_SEC_NORTE2"/>
      <sheetName val="COLECTOR_NORTE2"/>
      <sheetName val="APU_COLEC_NORTE2"/>
      <sheetName val="PTAR_NORTE2"/>
      <sheetName val="APU_PTAR_NORTE2"/>
      <sheetName val="REDES_SEC_Travesía_2"/>
      <sheetName val="APU_REDES_Travesía2"/>
      <sheetName val="PTAR_Travesía2"/>
      <sheetName val="APU_PTAR_Travesía2"/>
      <sheetName val="REDES_SEC_Mulatos2"/>
      <sheetName val="APU_REDES_Mulatos2"/>
      <sheetName val="PTAR_Mulatos2"/>
      <sheetName val="APU_PTAR_Mulatos2"/>
      <sheetName val="REDES_SEC_Escuela2"/>
      <sheetName val="APU_REDES_Escuela2"/>
      <sheetName val="PTAR_Escuela2"/>
      <sheetName val="APU_PTAR_Escuela2"/>
      <sheetName val="BASE_CTOS2"/>
      <sheetName val="APU_PTAR_SUR2"/>
      <sheetName val="RESUMEN_OBRAS_ALCANTARILLADO3"/>
      <sheetName val="REDES_SEC_SUR3"/>
      <sheetName val="APU_REDES_SEC_SUR3"/>
      <sheetName val="COLECTOR_SUR_3"/>
      <sheetName val="APU_COL_SUR3"/>
      <sheetName val="PTAR_SUR3"/>
      <sheetName val="REDES_SEC_NORTE3"/>
      <sheetName val="APU_REDES_SEC_NORTE3"/>
      <sheetName val="COLECTOR_NORTE3"/>
      <sheetName val="APU_COLEC_NORTE3"/>
      <sheetName val="PTAR_NORTE3"/>
      <sheetName val="APU_PTAR_NORTE3"/>
      <sheetName val="REDES_SEC_Travesía_3"/>
      <sheetName val="APU_REDES_Travesía3"/>
      <sheetName val="PTAR_Travesía3"/>
      <sheetName val="APU_PTAR_Travesía3"/>
      <sheetName val="REDES_SEC_Mulatos3"/>
      <sheetName val="APU_REDES_Mulatos3"/>
      <sheetName val="PTAR_Mulatos3"/>
      <sheetName val="APU_PTAR_Mulatos3"/>
      <sheetName val="REDES_SEC_Escuela3"/>
      <sheetName val="APU_REDES_Escuela3"/>
      <sheetName val="PTAR_Escuela3"/>
      <sheetName val="APU_PTAR_Escuela3"/>
      <sheetName val="BASE_CTOS3"/>
      <sheetName val="APU_PTAR_SUR3"/>
      <sheetName val="RESUMEN_OBRAS_ALCANTARILLADO4"/>
      <sheetName val="REDES_SEC_SUR4"/>
      <sheetName val="APU_REDES_SEC_SUR4"/>
      <sheetName val="COLECTOR_SUR_4"/>
      <sheetName val="APU_COL_SUR4"/>
      <sheetName val="PTAR_SUR4"/>
      <sheetName val="REDES_SEC_NORTE4"/>
      <sheetName val="APU_REDES_SEC_NORTE4"/>
      <sheetName val="COLECTOR_NORTE4"/>
      <sheetName val="APU_COLEC_NORTE4"/>
      <sheetName val="PTAR_NORTE4"/>
      <sheetName val="APU_PTAR_NORTE4"/>
      <sheetName val="REDES_SEC_Travesía_4"/>
      <sheetName val="APU_REDES_Travesía4"/>
      <sheetName val="PTAR_Travesía4"/>
      <sheetName val="APU_PTAR_Travesía4"/>
      <sheetName val="REDES_SEC_Mulatos4"/>
      <sheetName val="APU_REDES_Mulatos4"/>
      <sheetName val="PTAR_Mulatos4"/>
      <sheetName val="APU_PTAR_Mulatos4"/>
      <sheetName val="REDES_SEC_Escuela4"/>
      <sheetName val="APU_REDES_Escuela4"/>
      <sheetName val="PTAR_Escuela4"/>
      <sheetName val="APU_PTAR_Escuela4"/>
      <sheetName val="BASE_CTOS4"/>
      <sheetName val="APU_PTAR_SUR4"/>
      <sheetName val="RESUMEN_OBRAS_ALCANTARILLADO6"/>
      <sheetName val="REDES_SEC_SUR6"/>
      <sheetName val="APU_REDES_SEC_SUR6"/>
      <sheetName val="COLECTOR_SUR_6"/>
      <sheetName val="APU_COL_SUR6"/>
      <sheetName val="PTAR_SUR6"/>
      <sheetName val="REDES_SEC_NORTE6"/>
      <sheetName val="APU_REDES_SEC_NORTE6"/>
      <sheetName val="COLECTOR_NORTE6"/>
      <sheetName val="APU_COLEC_NORTE6"/>
      <sheetName val="PTAR_NORTE6"/>
      <sheetName val="APU_PTAR_NORTE6"/>
      <sheetName val="REDES_SEC_Travesía_6"/>
      <sheetName val="APU_REDES_Travesía6"/>
      <sheetName val="PTAR_Travesía6"/>
      <sheetName val="APU_PTAR_Travesía6"/>
      <sheetName val="REDES_SEC_Mulatos6"/>
      <sheetName val="APU_REDES_Mulatos6"/>
      <sheetName val="PTAR_Mulatos6"/>
      <sheetName val="APU_PTAR_Mulatos6"/>
      <sheetName val="REDES_SEC_Escuela6"/>
      <sheetName val="APU_REDES_Escuela6"/>
      <sheetName val="PTAR_Escuela6"/>
      <sheetName val="APU_PTAR_Escuela6"/>
      <sheetName val="BASE_CTOS6"/>
      <sheetName val="APU_PTAR_SUR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306">
          <cell r="D306">
            <v>100</v>
          </cell>
        </row>
      </sheetData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BASE CTOS"/>
      <sheetName val="Resumen El Paraiso"/>
      <sheetName val="Red El Paraiso"/>
      <sheetName val="APU RED EL PARAISO"/>
      <sheetName val="Sol. Ind."/>
      <sheetName val="APU"/>
      <sheetName val="BASE_CTOS"/>
      <sheetName val="Resumen_El_Paraiso"/>
      <sheetName val="Red_El_Paraiso"/>
      <sheetName val="APU_RED_EL_PARAISO"/>
      <sheetName val="Sol__Ind_"/>
      <sheetName val="BASE_CTOS1"/>
      <sheetName val="Resumen_El_Paraiso1"/>
      <sheetName val="Red_El_Paraiso1"/>
      <sheetName val="APU_RED_EL_PARAISO1"/>
      <sheetName val="Sol__Ind_1"/>
      <sheetName val="BASE_CTOS5"/>
      <sheetName val="Resumen_El_Paraiso5"/>
      <sheetName val="Red_El_Paraiso5"/>
      <sheetName val="APU_RED_EL_PARAISO5"/>
      <sheetName val="Sol__Ind_5"/>
      <sheetName val="BASE_CTOS2"/>
      <sheetName val="Resumen_El_Paraiso2"/>
      <sheetName val="Red_El_Paraiso2"/>
      <sheetName val="APU_RED_EL_PARAISO2"/>
      <sheetName val="Sol__Ind_2"/>
      <sheetName val="BASE_CTOS3"/>
      <sheetName val="Resumen_El_Paraiso3"/>
      <sheetName val="Red_El_Paraiso3"/>
      <sheetName val="APU_RED_EL_PARAISO3"/>
      <sheetName val="Sol__Ind_3"/>
      <sheetName val="BASE_CTOS4"/>
      <sheetName val="Resumen_El_Paraiso4"/>
      <sheetName val="Red_El_Paraiso4"/>
      <sheetName val="APU_RED_EL_PARAISO4"/>
      <sheetName val="Sol__Ind_4"/>
      <sheetName val="BASE_CTOS6"/>
      <sheetName val="Resumen_El_Paraiso6"/>
      <sheetName val="Red_El_Paraiso6"/>
      <sheetName val="APU_RED_EL_PARAISO6"/>
      <sheetName val="Sol__Ind_6"/>
    </sheetNames>
    <sheetDataSet>
      <sheetData sheetId="0">
        <row r="280">
          <cell r="D280">
            <v>240000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  <sheetName val="TotalesReposicion"/>
      <sheetName val="TotalesOptimizacion"/>
      <sheetName val="TOTAL SUB1"/>
      <sheetName val="TOTAL1(MODIF.)"/>
      <sheetName val="TOTAL_SUB1"/>
      <sheetName val="TOTAL1(MODIF_)"/>
      <sheetName val="TOTAL_SUB11"/>
      <sheetName val="TOTAL1(MODIF_)1"/>
      <sheetName val="TOTAL_SUB15"/>
      <sheetName val="TOTAL1(MODIF_)5"/>
      <sheetName val="TOTAL_SUB12"/>
      <sheetName val="TOTAL1(MODIF_)2"/>
      <sheetName val="TOTAL_SUB13"/>
      <sheetName val="TOTAL1(MODIF_)3"/>
      <sheetName val="TOTAL_SUB14"/>
      <sheetName val="TOTAL1(MODIF_)4"/>
      <sheetName val="TOTAL_SUB16"/>
      <sheetName val="TOTAL1(MODIF_)6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FORMULARIO AIU"/>
      <sheetName val="PRESTA"/>
      <sheetName val="BASE CTOS"/>
      <sheetName val="COLECTOR NORTE (1)"/>
      <sheetName val="COLECTOR NORTE (2)"/>
      <sheetName val="COLECTOR NORTE (3)"/>
      <sheetName val="COLECTOR NORTE (4)"/>
      <sheetName val="REDES SEC. NORTE"/>
      <sheetName val="DOM.  COLECTOR NORTE 1"/>
      <sheetName val="DOMI. SEC  NORTE"/>
      <sheetName val="COLECTOR ORIENTAL"/>
      <sheetName val="APU COLECTOR NORTE "/>
      <sheetName val="REDES SEC ORIENTAL"/>
      <sheetName val="DOMI. SEC ORIENTAL"/>
      <sheetName val="APU COLECTOR NORTE."/>
      <sheetName val="DOMI. COLEC.  ORIENTAL"/>
      <sheetName val="COLECTOR OCCIDENTAL"/>
      <sheetName val="REDES SEC. OCCIDENTAL"/>
      <sheetName val="DOMI. SEC OCCIDENTAL"/>
      <sheetName val="DOMI. COLEC  OCCIDENTAL "/>
      <sheetName val=" PTAR NORTE"/>
      <sheetName val="APU PTAR"/>
      <sheetName val="APU PTAR OCCIDENTAL"/>
      <sheetName val="PRESUPUESTO PTAR OCCIDENTAL"/>
      <sheetName val="PRESUPUESTO PTAR oriental"/>
      <sheetName val="RES INSUMOS PTAR"/>
      <sheetName val="RESUMEN OBRAS"/>
      <sheetName val="DOM.  COLECTOR NORTE."/>
      <sheetName val="APU Domic. COLECTOR  NORTE"/>
      <sheetName val="RES MATERERIALES ALCANTARIL"/>
      <sheetName val="SEPARADORAS ACTO"/>
      <sheetName val="FORMULARIO_AIU"/>
      <sheetName val="BASE_CTOS"/>
      <sheetName val="COLECTOR_NORTE_(1)"/>
      <sheetName val="COLECTOR_NORTE_(2)"/>
      <sheetName val="COLECTOR_NORTE_(3)"/>
      <sheetName val="COLECTOR_NORTE_(4)"/>
      <sheetName val="REDES_SEC__NORTE"/>
      <sheetName val="DOM___COLECTOR_NORTE_1"/>
      <sheetName val="DOMI__SEC__NORTE"/>
      <sheetName val="COLECTOR_ORIENTAL"/>
      <sheetName val="APU_COLECTOR_NORTE_"/>
      <sheetName val="REDES_SEC_ORIENTAL"/>
      <sheetName val="DOMI__SEC_ORIENTAL"/>
      <sheetName val="APU_COLECTOR_NORTE_1"/>
      <sheetName val="DOMI__COLEC___ORIENTAL"/>
      <sheetName val="COLECTOR_OCCIDENTAL"/>
      <sheetName val="REDES_SEC__OCCIDENTAL"/>
      <sheetName val="DOMI__SEC_OCCIDENTAL"/>
      <sheetName val="DOMI__COLEC__OCCIDENTAL_"/>
      <sheetName val="_PTAR_NORTE"/>
      <sheetName val="APU_PTAR"/>
      <sheetName val="APU_PTAR_OCCIDENTAL"/>
      <sheetName val="PRESUPUESTO_PTAR_OCCIDENTAL"/>
      <sheetName val="PRESUPUESTO_PTAR_oriental"/>
      <sheetName val="RES_INSUMOS_PTAR"/>
      <sheetName val="RESUMEN_OBRAS"/>
      <sheetName val="DOM___COLECTOR_NORTE_"/>
      <sheetName val="APU_Domic__COLECTOR__NORTE"/>
      <sheetName val="RES_MATERERIALES_ALCANTARIL"/>
      <sheetName val="SEPARADORAS_ACTO"/>
      <sheetName val="FORMULARIO_AIU1"/>
      <sheetName val="BASE_CTOS1"/>
      <sheetName val="COLECTOR_NORTE_(1)1"/>
      <sheetName val="COLECTOR_NORTE_(2)1"/>
      <sheetName val="COLECTOR_NORTE_(3)1"/>
      <sheetName val="COLECTOR_NORTE_(4)1"/>
      <sheetName val="REDES_SEC__NORTE1"/>
      <sheetName val="DOM___COLECTOR_NORTE_11"/>
      <sheetName val="DOMI__SEC__NORTE1"/>
      <sheetName val="COLECTOR_ORIENTAL1"/>
      <sheetName val="APU_COLECTOR_NORTE_2"/>
      <sheetName val="REDES_SEC_ORIENTAL1"/>
      <sheetName val="DOMI__SEC_ORIENTAL1"/>
      <sheetName val="APU_COLECTOR_NORTE_3"/>
      <sheetName val="DOMI__COLEC___ORIENTAL1"/>
      <sheetName val="COLECTOR_OCCIDENTAL1"/>
      <sheetName val="REDES_SEC__OCCIDENTAL1"/>
      <sheetName val="DOMI__SEC_OCCIDENTAL1"/>
      <sheetName val="DOMI__COLEC__OCCIDENTAL_1"/>
      <sheetName val="_PTAR_NORTE1"/>
      <sheetName val="APU_PTAR1"/>
      <sheetName val="APU_PTAR_OCCIDENTAL1"/>
      <sheetName val="PRESUPUESTO_PTAR_OCCIDENTAL1"/>
      <sheetName val="PRESUPUESTO_PTAR_oriental1"/>
      <sheetName val="RES_INSUMOS_PTAR1"/>
      <sheetName val="RESUMEN_OBRAS1"/>
      <sheetName val="DOM___COLECTOR_NORTE_2"/>
      <sheetName val="APU_Domic__COLECTOR__NORTE1"/>
      <sheetName val="RES_MATERERIALES_ALCANTARIL1"/>
      <sheetName val="SEPARADORAS_ACTO1"/>
      <sheetName val="FORMULARIO_AIU5"/>
      <sheetName val="BASE_CTOS5"/>
      <sheetName val="COLECTOR_NORTE_(1)5"/>
      <sheetName val="COLECTOR_NORTE_(2)5"/>
      <sheetName val="COLECTOR_NORTE_(3)5"/>
      <sheetName val="COLECTOR_NORTE_(4)5"/>
      <sheetName val="REDES_SEC__NORTE5"/>
      <sheetName val="DOM___COLECTOR_NORTE_15"/>
      <sheetName val="DOMI__SEC__NORTE5"/>
      <sheetName val="COLECTOR_ORIENTAL5"/>
      <sheetName val="APU_COLECTOR_NORTE_10"/>
      <sheetName val="REDES_SEC_ORIENTAL5"/>
      <sheetName val="DOMI__SEC_ORIENTAL5"/>
      <sheetName val="APU_COLECTOR_NORTE_11"/>
      <sheetName val="DOMI__COLEC___ORIENTAL5"/>
      <sheetName val="COLECTOR_OCCIDENTAL5"/>
      <sheetName val="REDES_SEC__OCCIDENTAL5"/>
      <sheetName val="DOMI__SEC_OCCIDENTAL5"/>
      <sheetName val="DOMI__COLEC__OCCIDENTAL_5"/>
      <sheetName val="_PTAR_NORTE5"/>
      <sheetName val="APU_PTAR5"/>
      <sheetName val="APU_PTAR_OCCIDENTAL5"/>
      <sheetName val="PRESUPUESTO_PTAR_OCCIDENTAL5"/>
      <sheetName val="PRESUPUESTO_PTAR_oriental5"/>
      <sheetName val="RES_INSUMOS_PTAR5"/>
      <sheetName val="RESUMEN_OBRAS5"/>
      <sheetName val="DOM___COLECTOR_NORTE_6"/>
      <sheetName val="APU_Domic__COLECTOR__NORTE5"/>
      <sheetName val="RES_MATERERIALES_ALCANTARIL5"/>
      <sheetName val="SEPARADORAS_ACTO5"/>
      <sheetName val="FORMULARIO_AIU2"/>
      <sheetName val="BASE_CTOS2"/>
      <sheetName val="COLECTOR_NORTE_(1)2"/>
      <sheetName val="COLECTOR_NORTE_(2)2"/>
      <sheetName val="COLECTOR_NORTE_(3)2"/>
      <sheetName val="COLECTOR_NORTE_(4)2"/>
      <sheetName val="REDES_SEC__NORTE2"/>
      <sheetName val="DOM___COLECTOR_NORTE_12"/>
      <sheetName val="DOMI__SEC__NORTE2"/>
      <sheetName val="COLECTOR_ORIENTAL2"/>
      <sheetName val="APU_COLECTOR_NORTE_4"/>
      <sheetName val="REDES_SEC_ORIENTAL2"/>
      <sheetName val="DOMI__SEC_ORIENTAL2"/>
      <sheetName val="APU_COLECTOR_NORTE_5"/>
      <sheetName val="DOMI__COLEC___ORIENTAL2"/>
      <sheetName val="COLECTOR_OCCIDENTAL2"/>
      <sheetName val="REDES_SEC__OCCIDENTAL2"/>
      <sheetName val="DOMI__SEC_OCCIDENTAL2"/>
      <sheetName val="DOMI__COLEC__OCCIDENTAL_2"/>
      <sheetName val="_PTAR_NORTE2"/>
      <sheetName val="APU_PTAR2"/>
      <sheetName val="APU_PTAR_OCCIDENTAL2"/>
      <sheetName val="PRESUPUESTO_PTAR_OCCIDENTAL2"/>
      <sheetName val="PRESUPUESTO_PTAR_oriental2"/>
      <sheetName val="RES_INSUMOS_PTAR2"/>
      <sheetName val="RESUMEN_OBRAS2"/>
      <sheetName val="DOM___COLECTOR_NORTE_3"/>
      <sheetName val="APU_Domic__COLECTOR__NORTE2"/>
      <sheetName val="RES_MATERERIALES_ALCANTARIL2"/>
      <sheetName val="SEPARADORAS_ACTO2"/>
      <sheetName val="FORMULARIO_AIU3"/>
      <sheetName val="BASE_CTOS3"/>
      <sheetName val="COLECTOR_NORTE_(1)3"/>
      <sheetName val="COLECTOR_NORTE_(2)3"/>
      <sheetName val="COLECTOR_NORTE_(3)3"/>
      <sheetName val="COLECTOR_NORTE_(4)3"/>
      <sheetName val="REDES_SEC__NORTE3"/>
      <sheetName val="DOM___COLECTOR_NORTE_13"/>
      <sheetName val="DOMI__SEC__NORTE3"/>
      <sheetName val="COLECTOR_ORIENTAL3"/>
      <sheetName val="APU_COLECTOR_NORTE_6"/>
      <sheetName val="REDES_SEC_ORIENTAL3"/>
      <sheetName val="DOMI__SEC_ORIENTAL3"/>
      <sheetName val="APU_COLECTOR_NORTE_7"/>
      <sheetName val="DOMI__COLEC___ORIENTAL3"/>
      <sheetName val="COLECTOR_OCCIDENTAL3"/>
      <sheetName val="REDES_SEC__OCCIDENTAL3"/>
      <sheetName val="DOMI__SEC_OCCIDENTAL3"/>
      <sheetName val="DOMI__COLEC__OCCIDENTAL_3"/>
      <sheetName val="_PTAR_NORTE3"/>
      <sheetName val="APU_PTAR3"/>
      <sheetName val="APU_PTAR_OCCIDENTAL3"/>
      <sheetName val="PRESUPUESTO_PTAR_OCCIDENTAL3"/>
      <sheetName val="PRESUPUESTO_PTAR_oriental3"/>
      <sheetName val="RES_INSUMOS_PTAR3"/>
      <sheetName val="RESUMEN_OBRAS3"/>
      <sheetName val="DOM___COLECTOR_NORTE_4"/>
      <sheetName val="APU_Domic__COLECTOR__NORTE3"/>
      <sheetName val="RES_MATERERIALES_ALCANTARIL3"/>
      <sheetName val="SEPARADORAS_ACTO3"/>
      <sheetName val="FORMULARIO_AIU4"/>
      <sheetName val="BASE_CTOS4"/>
      <sheetName val="COLECTOR_NORTE_(1)4"/>
      <sheetName val="COLECTOR_NORTE_(2)4"/>
      <sheetName val="COLECTOR_NORTE_(3)4"/>
      <sheetName val="COLECTOR_NORTE_(4)4"/>
      <sheetName val="REDES_SEC__NORTE4"/>
      <sheetName val="DOM___COLECTOR_NORTE_14"/>
      <sheetName val="DOMI__SEC__NORTE4"/>
      <sheetName val="COLECTOR_ORIENTAL4"/>
      <sheetName val="APU_COLECTOR_NORTE_8"/>
      <sheetName val="REDES_SEC_ORIENTAL4"/>
      <sheetName val="DOMI__SEC_ORIENTAL4"/>
      <sheetName val="APU_COLECTOR_NORTE_9"/>
      <sheetName val="DOMI__COLEC___ORIENTAL4"/>
      <sheetName val="COLECTOR_OCCIDENTAL4"/>
      <sheetName val="REDES_SEC__OCCIDENTAL4"/>
      <sheetName val="DOMI__SEC_OCCIDENTAL4"/>
      <sheetName val="DOMI__COLEC__OCCIDENTAL_4"/>
      <sheetName val="_PTAR_NORTE4"/>
      <sheetName val="APU_PTAR4"/>
      <sheetName val="APU_PTAR_OCCIDENTAL4"/>
      <sheetName val="PRESUPUESTO_PTAR_OCCIDENTAL4"/>
      <sheetName val="PRESUPUESTO_PTAR_oriental4"/>
      <sheetName val="RES_INSUMOS_PTAR4"/>
      <sheetName val="RESUMEN_OBRAS4"/>
      <sheetName val="DOM___COLECTOR_NORTE_5"/>
      <sheetName val="APU_Domic__COLECTOR__NORTE4"/>
      <sheetName val="RES_MATERERIALES_ALCANTARIL4"/>
      <sheetName val="SEPARADORAS_ACTO4"/>
      <sheetName val="FORMULARIO_AIU6"/>
      <sheetName val="BASE_CTOS6"/>
      <sheetName val="COLECTOR_NORTE_(1)6"/>
      <sheetName val="COLECTOR_NORTE_(2)6"/>
      <sheetName val="COLECTOR_NORTE_(3)6"/>
      <sheetName val="COLECTOR_NORTE_(4)6"/>
      <sheetName val="REDES_SEC__NORTE6"/>
      <sheetName val="DOM___COLECTOR_NORTE_16"/>
      <sheetName val="DOMI__SEC__NORTE6"/>
      <sheetName val="COLECTOR_ORIENTAL6"/>
      <sheetName val="APU_COLECTOR_NORTE_12"/>
      <sheetName val="REDES_SEC_ORIENTAL6"/>
      <sheetName val="DOMI__SEC_ORIENTAL6"/>
      <sheetName val="APU_COLECTOR_NORTE_13"/>
      <sheetName val="DOMI__COLEC___ORIENTAL6"/>
      <sheetName val="COLECTOR_OCCIDENTAL6"/>
      <sheetName val="REDES_SEC__OCCIDENTAL6"/>
      <sheetName val="DOMI__SEC_OCCIDENTAL6"/>
      <sheetName val="DOMI__COLEC__OCCIDENTAL_6"/>
      <sheetName val="_PTAR_NORTE6"/>
      <sheetName val="APU_PTAR6"/>
      <sheetName val="APU_PTAR_OCCIDENTAL6"/>
      <sheetName val="PRESUPUESTO_PTAR_OCCIDENTAL6"/>
      <sheetName val="PRESUPUESTO_PTAR_oriental6"/>
      <sheetName val="RES_INSUMOS_PTAR6"/>
      <sheetName val="RESUMEN_OBRAS6"/>
      <sheetName val="DOM___COLECTOR_NORTE_7"/>
      <sheetName val="APU_Domic__COLECTOR__NORTE6"/>
      <sheetName val="RES_MATERERIALES_ALCANTARIL6"/>
      <sheetName val="SEPARADORAS_ACTO6"/>
    </sheetNames>
    <sheetDataSet>
      <sheetData sheetId="0">
        <row r="269">
          <cell r="D269">
            <v>237799.99999999997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46"/>
  <sheetViews>
    <sheetView showGridLines="0" topLeftCell="A57" zoomScale="50" zoomScaleNormal="50" workbookViewId="0">
      <selection activeCell="F226" sqref="F226"/>
    </sheetView>
  </sheetViews>
  <sheetFormatPr baseColWidth="10" defaultColWidth="11.42578125" defaultRowHeight="33.75" x14ac:dyDescent="0.25"/>
  <cols>
    <col min="1" max="1" width="7" style="7" bestFit="1" customWidth="1"/>
    <col min="2" max="2" width="7.5703125" style="7" bestFit="1" customWidth="1"/>
    <col min="3" max="3" width="72.42578125" style="254" customWidth="1"/>
    <col min="4" max="4" width="5.7109375" style="10" customWidth="1"/>
    <col min="5" max="5" width="15.5703125" style="7" customWidth="1"/>
    <col min="6" max="6" width="30.7109375" style="196" customWidth="1"/>
    <col min="7" max="7" width="3.28515625" style="7" hidden="1" customWidth="1"/>
    <col min="8" max="8" width="1.140625" style="293" customWidth="1"/>
    <col min="9" max="9" width="13.5703125" style="7" customWidth="1"/>
    <col min="10" max="10" width="30.42578125" style="196" bestFit="1" customWidth="1"/>
    <col min="11" max="11" width="29.140625" style="9" customWidth="1"/>
    <col min="12" max="12" width="11.42578125" style="6" customWidth="1"/>
    <col min="13" max="16384" width="11.42578125" style="6"/>
  </cols>
  <sheetData>
    <row r="1" spans="1:11" ht="15" customHeight="1" x14ac:dyDescent="0.25">
      <c r="A1" s="358" t="s">
        <v>122</v>
      </c>
      <c r="B1" s="358"/>
      <c r="C1" s="358"/>
      <c r="D1" s="358"/>
      <c r="E1" s="358"/>
      <c r="F1" s="358"/>
      <c r="G1" s="358"/>
      <c r="H1" s="358"/>
      <c r="I1" s="358"/>
      <c r="J1" s="359"/>
      <c r="K1" s="358"/>
    </row>
    <row r="2" spans="1:11" ht="15" customHeight="1" x14ac:dyDescent="0.25">
      <c r="A2" s="358"/>
      <c r="B2" s="358"/>
      <c r="C2" s="358"/>
      <c r="D2" s="358"/>
      <c r="E2" s="358"/>
      <c r="F2" s="358"/>
      <c r="G2" s="358"/>
      <c r="H2" s="358"/>
      <c r="I2" s="358"/>
      <c r="J2" s="359"/>
      <c r="K2" s="358"/>
    </row>
    <row r="3" spans="1:11" ht="15" customHeight="1" x14ac:dyDescent="0.25">
      <c r="A3" s="358"/>
      <c r="B3" s="358"/>
      <c r="C3" s="358"/>
      <c r="D3" s="358"/>
      <c r="E3" s="358"/>
      <c r="F3" s="358"/>
      <c r="G3" s="358"/>
      <c r="H3" s="358"/>
      <c r="I3" s="358"/>
      <c r="J3" s="359"/>
      <c r="K3" s="358"/>
    </row>
    <row r="4" spans="1:11" ht="15" customHeight="1" x14ac:dyDescent="0.25">
      <c r="A4" s="358"/>
      <c r="B4" s="358"/>
      <c r="C4" s="358"/>
      <c r="D4" s="358"/>
      <c r="E4" s="358"/>
      <c r="F4" s="358"/>
      <c r="G4" s="358"/>
      <c r="H4" s="358"/>
      <c r="I4" s="358"/>
      <c r="J4" s="359"/>
      <c r="K4" s="358"/>
    </row>
    <row r="5" spans="1:11" ht="26.25" x14ac:dyDescent="0.25">
      <c r="A5" s="360" t="s">
        <v>123</v>
      </c>
      <c r="B5" s="360"/>
      <c r="C5" s="360"/>
      <c r="D5" s="360"/>
      <c r="E5" s="360"/>
      <c r="F5" s="360"/>
      <c r="G5" s="360"/>
      <c r="H5" s="360"/>
      <c r="I5" s="360"/>
      <c r="J5" s="361"/>
      <c r="K5" s="360"/>
    </row>
    <row r="6" spans="1:11" x14ac:dyDescent="0.25">
      <c r="A6" s="362" t="s">
        <v>124</v>
      </c>
      <c r="B6" s="362"/>
      <c r="C6" s="362"/>
      <c r="D6" s="362"/>
      <c r="E6" s="118">
        <v>8314.33</v>
      </c>
      <c r="F6" s="185"/>
      <c r="G6" s="17"/>
      <c r="H6" s="285"/>
      <c r="I6" s="118"/>
      <c r="J6" s="185"/>
      <c r="K6" s="118"/>
    </row>
    <row r="7" spans="1:11" s="7" customFormat="1" ht="66" customHeight="1" thickBot="1" x14ac:dyDescent="0.3">
      <c r="A7" s="356" t="s">
        <v>128</v>
      </c>
      <c r="B7" s="357"/>
      <c r="C7" s="233" t="s">
        <v>0</v>
      </c>
      <c r="D7" s="59" t="s">
        <v>59</v>
      </c>
      <c r="E7" s="119" t="s">
        <v>2</v>
      </c>
      <c r="F7" s="186" t="s">
        <v>4</v>
      </c>
      <c r="G7" s="18"/>
      <c r="H7" s="286"/>
      <c r="I7" s="119" t="s">
        <v>1</v>
      </c>
      <c r="J7" s="186" t="s">
        <v>3</v>
      </c>
      <c r="K7" s="164" t="s">
        <v>58</v>
      </c>
    </row>
    <row r="8" spans="1:11" ht="33" customHeight="1" thickBot="1" x14ac:dyDescent="0.3">
      <c r="A8" s="107"/>
      <c r="B8" s="83"/>
      <c r="C8" s="234" t="s">
        <v>5</v>
      </c>
      <c r="D8" s="203"/>
      <c r="E8" s="60"/>
      <c r="F8" s="187"/>
      <c r="G8" s="20"/>
      <c r="H8" s="53"/>
      <c r="I8" s="60"/>
      <c r="J8" s="187"/>
      <c r="K8" s="166"/>
    </row>
    <row r="9" spans="1:11" ht="21" customHeight="1" x14ac:dyDescent="0.25">
      <c r="A9" s="84"/>
      <c r="B9" s="84"/>
      <c r="C9" s="61" t="s">
        <v>55</v>
      </c>
      <c r="D9" s="204" t="s">
        <v>61</v>
      </c>
      <c r="E9" s="120"/>
      <c r="F9" s="140">
        <v>500000</v>
      </c>
      <c r="G9" s="22"/>
      <c r="H9" s="287"/>
      <c r="I9" s="120"/>
      <c r="J9" s="140">
        <v>0</v>
      </c>
      <c r="K9" s="167"/>
    </row>
    <row r="10" spans="1:11" ht="21" customHeight="1" x14ac:dyDescent="0.25">
      <c r="A10" s="85"/>
      <c r="B10" s="85"/>
      <c r="C10" s="70" t="s">
        <v>6</v>
      </c>
      <c r="D10" s="205" t="s">
        <v>61</v>
      </c>
      <c r="E10" s="121"/>
      <c r="F10" s="141">
        <v>429978</v>
      </c>
      <c r="G10" s="23"/>
      <c r="H10" s="45"/>
      <c r="I10" s="121"/>
      <c r="J10" s="141">
        <v>0</v>
      </c>
      <c r="K10" s="168"/>
    </row>
    <row r="11" spans="1:11" ht="21" customHeight="1" x14ac:dyDescent="0.25">
      <c r="A11" s="85"/>
      <c r="B11" s="85"/>
      <c r="C11" s="81" t="s">
        <v>57</v>
      </c>
      <c r="D11" s="205" t="s">
        <v>61</v>
      </c>
      <c r="E11" s="121"/>
      <c r="F11" s="141">
        <v>493620</v>
      </c>
      <c r="G11" s="23"/>
      <c r="H11" s="45"/>
      <c r="I11" s="121"/>
      <c r="J11" s="141">
        <v>0</v>
      </c>
      <c r="K11" s="168"/>
    </row>
    <row r="12" spans="1:11" ht="21" customHeight="1" x14ac:dyDescent="0.25">
      <c r="A12" s="85"/>
      <c r="B12" s="85"/>
      <c r="C12" s="70" t="s">
        <v>56</v>
      </c>
      <c r="D12" s="205" t="s">
        <v>61</v>
      </c>
      <c r="E12" s="121"/>
      <c r="F12" s="141">
        <v>1457876</v>
      </c>
      <c r="G12" s="23"/>
      <c r="H12" s="45"/>
      <c r="I12" s="121"/>
      <c r="J12" s="141">
        <v>0</v>
      </c>
      <c r="K12" s="168"/>
    </row>
    <row r="13" spans="1:11" ht="21" customHeight="1" x14ac:dyDescent="0.25">
      <c r="A13" s="85"/>
      <c r="B13" s="85"/>
      <c r="C13" s="70" t="s">
        <v>88</v>
      </c>
      <c r="D13" s="205" t="s">
        <v>61</v>
      </c>
      <c r="E13" s="121"/>
      <c r="F13" s="141">
        <v>1413140</v>
      </c>
      <c r="G13" s="23"/>
      <c r="H13" s="45"/>
      <c r="I13" s="121"/>
      <c r="J13" s="141">
        <v>0</v>
      </c>
      <c r="K13" s="168"/>
    </row>
    <row r="14" spans="1:11" ht="21" customHeight="1" x14ac:dyDescent="0.25">
      <c r="A14" s="86"/>
      <c r="B14" s="86"/>
      <c r="C14" s="235" t="s">
        <v>105</v>
      </c>
      <c r="D14" s="206" t="s">
        <v>61</v>
      </c>
      <c r="E14" s="122"/>
      <c r="F14" s="142">
        <v>1203870</v>
      </c>
      <c r="G14" s="24"/>
      <c r="H14" s="288"/>
      <c r="I14" s="122"/>
      <c r="J14" s="142">
        <v>0</v>
      </c>
      <c r="K14" s="169"/>
    </row>
    <row r="15" spans="1:11" ht="21" customHeight="1" thickBot="1" x14ac:dyDescent="0.3">
      <c r="A15" s="87"/>
      <c r="B15" s="87"/>
      <c r="C15" s="236" t="s">
        <v>125</v>
      </c>
      <c r="D15" s="207"/>
      <c r="E15" s="123"/>
      <c r="F15" s="143">
        <f>SUM(F9:F14)</f>
        <v>5498484</v>
      </c>
      <c r="G15" s="46"/>
      <c r="H15" s="288"/>
      <c r="I15" s="123"/>
      <c r="J15" s="143">
        <f>SUM(J9:J14)</f>
        <v>0</v>
      </c>
      <c r="K15" s="170">
        <f>+J15-F15</f>
        <v>-5498484</v>
      </c>
    </row>
    <row r="16" spans="1:11" ht="34.5" thickBot="1" x14ac:dyDescent="0.3">
      <c r="A16" s="108"/>
      <c r="B16" s="88"/>
      <c r="C16" s="237" t="s">
        <v>7</v>
      </c>
      <c r="D16" s="208"/>
      <c r="E16" s="63"/>
      <c r="F16" s="188"/>
      <c r="G16" s="47"/>
      <c r="H16" s="53"/>
      <c r="I16" s="63"/>
      <c r="J16" s="188"/>
      <c r="K16" s="171"/>
    </row>
    <row r="17" spans="1:11" ht="42" x14ac:dyDescent="0.25">
      <c r="A17" s="84"/>
      <c r="B17" s="84"/>
      <c r="C17" s="64" t="s">
        <v>8</v>
      </c>
      <c r="D17" s="209" t="s">
        <v>61</v>
      </c>
      <c r="E17" s="120"/>
      <c r="F17" s="140">
        <v>32553596.199999999</v>
      </c>
      <c r="G17" s="22"/>
      <c r="H17" s="287"/>
      <c r="I17" s="120"/>
      <c r="J17" s="140">
        <v>0</v>
      </c>
      <c r="K17" s="140"/>
    </row>
    <row r="18" spans="1:11" ht="36" customHeight="1" x14ac:dyDescent="0.25">
      <c r="A18" s="85"/>
      <c r="B18" s="85"/>
      <c r="C18" s="65" t="s">
        <v>10</v>
      </c>
      <c r="D18" s="210" t="s">
        <v>61</v>
      </c>
      <c r="E18" s="121"/>
      <c r="F18" s="141">
        <v>1849999.2000000002</v>
      </c>
      <c r="G18" s="23"/>
      <c r="H18" s="45"/>
      <c r="I18" s="121"/>
      <c r="J18" s="141">
        <v>0</v>
      </c>
      <c r="K18" s="141"/>
    </row>
    <row r="19" spans="1:11" ht="42" x14ac:dyDescent="0.25">
      <c r="A19" s="85"/>
      <c r="B19" s="85"/>
      <c r="C19" s="65" t="s">
        <v>11</v>
      </c>
      <c r="D19" s="210" t="s">
        <v>61</v>
      </c>
      <c r="E19" s="121"/>
      <c r="F19" s="141">
        <v>945000</v>
      </c>
      <c r="G19" s="23"/>
      <c r="H19" s="45"/>
      <c r="I19" s="121"/>
      <c r="J19" s="141">
        <v>0</v>
      </c>
      <c r="K19" s="141"/>
    </row>
    <row r="20" spans="1:11" ht="46.5" customHeight="1" x14ac:dyDescent="0.25">
      <c r="A20" s="85"/>
      <c r="B20" s="85"/>
      <c r="C20" s="65" t="s">
        <v>12</v>
      </c>
      <c r="D20" s="210" t="s">
        <v>61</v>
      </c>
      <c r="E20" s="81"/>
      <c r="F20" s="141">
        <v>348000</v>
      </c>
      <c r="G20" s="19"/>
      <c r="H20" s="45"/>
      <c r="I20" s="121"/>
      <c r="J20" s="141">
        <v>0</v>
      </c>
      <c r="K20" s="141"/>
    </row>
    <row r="21" spans="1:11" ht="42" x14ac:dyDescent="0.25">
      <c r="A21" s="85"/>
      <c r="B21" s="85"/>
      <c r="C21" s="81" t="s">
        <v>13</v>
      </c>
      <c r="D21" s="210" t="s">
        <v>61</v>
      </c>
      <c r="E21" s="121"/>
      <c r="F21" s="141">
        <v>144000</v>
      </c>
      <c r="G21" s="23"/>
      <c r="H21" s="45"/>
      <c r="I21" s="121"/>
      <c r="J21" s="141">
        <v>0</v>
      </c>
      <c r="K21" s="141"/>
    </row>
    <row r="22" spans="1:11" ht="63" x14ac:dyDescent="0.25">
      <c r="A22" s="85"/>
      <c r="B22" s="85"/>
      <c r="C22" s="81" t="s">
        <v>14</v>
      </c>
      <c r="D22" s="210" t="s">
        <v>61</v>
      </c>
      <c r="E22" s="121"/>
      <c r="F22" s="141">
        <v>29466617.25</v>
      </c>
      <c r="G22" s="23"/>
      <c r="H22" s="45"/>
      <c r="I22" s="121"/>
      <c r="J22" s="141">
        <v>0</v>
      </c>
      <c r="K22" s="141"/>
    </row>
    <row r="23" spans="1:11" ht="65.25" customHeight="1" x14ac:dyDescent="0.25">
      <c r="A23" s="85"/>
      <c r="B23" s="85"/>
      <c r="C23" s="65" t="s">
        <v>15</v>
      </c>
      <c r="D23" s="210" t="s">
        <v>61</v>
      </c>
      <c r="E23" s="121"/>
      <c r="F23" s="141">
        <v>4412800</v>
      </c>
      <c r="G23" s="23"/>
      <c r="H23" s="45"/>
      <c r="I23" s="121"/>
      <c r="J23" s="141">
        <v>0</v>
      </c>
      <c r="K23" s="141"/>
    </row>
    <row r="24" spans="1:11" ht="84" x14ac:dyDescent="0.25">
      <c r="A24" s="85"/>
      <c r="B24" s="85"/>
      <c r="C24" s="65" t="s">
        <v>16</v>
      </c>
      <c r="D24" s="210" t="s">
        <v>61</v>
      </c>
      <c r="E24" s="121"/>
      <c r="F24" s="141">
        <v>2625000</v>
      </c>
      <c r="G24" s="23"/>
      <c r="H24" s="45"/>
      <c r="I24" s="121"/>
      <c r="J24" s="141">
        <v>0</v>
      </c>
      <c r="K24" s="141"/>
    </row>
    <row r="25" spans="1:11" ht="58.5" customHeight="1" x14ac:dyDescent="0.25">
      <c r="A25" s="85"/>
      <c r="B25" s="85"/>
      <c r="C25" s="65" t="s">
        <v>17</v>
      </c>
      <c r="D25" s="210" t="s">
        <v>61</v>
      </c>
      <c r="E25" s="121"/>
      <c r="F25" s="141">
        <v>4606740</v>
      </c>
      <c r="G25" s="23"/>
      <c r="H25" s="45"/>
      <c r="I25" s="121"/>
      <c r="J25" s="141">
        <v>0</v>
      </c>
      <c r="K25" s="141"/>
    </row>
    <row r="26" spans="1:11" ht="21" customHeight="1" x14ac:dyDescent="0.25">
      <c r="A26" s="85"/>
      <c r="B26" s="85"/>
      <c r="C26" s="65" t="s">
        <v>18</v>
      </c>
      <c r="D26" s="210" t="s">
        <v>61</v>
      </c>
      <c r="E26" s="124"/>
      <c r="F26" s="141">
        <v>903000</v>
      </c>
      <c r="G26" s="25"/>
      <c r="H26" s="45"/>
      <c r="I26" s="124"/>
      <c r="J26" s="141">
        <v>0</v>
      </c>
      <c r="K26" s="141"/>
    </row>
    <row r="27" spans="1:11" ht="21" customHeight="1" x14ac:dyDescent="0.25">
      <c r="A27" s="85"/>
      <c r="B27" s="85"/>
      <c r="C27" s="65" t="s">
        <v>19</v>
      </c>
      <c r="D27" s="210" t="s">
        <v>61</v>
      </c>
      <c r="E27" s="124"/>
      <c r="F27" s="141">
        <v>41800</v>
      </c>
      <c r="G27" s="25"/>
      <c r="H27" s="45"/>
      <c r="I27" s="124"/>
      <c r="J27" s="141">
        <v>0</v>
      </c>
      <c r="K27" s="141"/>
    </row>
    <row r="28" spans="1:11" ht="42" x14ac:dyDescent="0.25">
      <c r="A28" s="85"/>
      <c r="B28" s="85"/>
      <c r="C28" s="62" t="s">
        <v>20</v>
      </c>
      <c r="D28" s="210" t="s">
        <v>61</v>
      </c>
      <c r="E28" s="124"/>
      <c r="F28" s="141">
        <v>696000</v>
      </c>
      <c r="G28" s="25"/>
      <c r="H28" s="45"/>
      <c r="I28" s="124"/>
      <c r="J28" s="141">
        <v>0</v>
      </c>
      <c r="K28" s="141"/>
    </row>
    <row r="29" spans="1:11" ht="21" customHeight="1" x14ac:dyDescent="0.25">
      <c r="A29" s="85"/>
      <c r="B29" s="85"/>
      <c r="C29" s="62" t="s">
        <v>21</v>
      </c>
      <c r="D29" s="210" t="s">
        <v>61</v>
      </c>
      <c r="E29" s="124"/>
      <c r="F29" s="141">
        <v>451500</v>
      </c>
      <c r="G29" s="25"/>
      <c r="H29" s="45"/>
      <c r="I29" s="124"/>
      <c r="J29" s="141">
        <v>0</v>
      </c>
      <c r="K29" s="141"/>
    </row>
    <row r="30" spans="1:11" ht="21" customHeight="1" x14ac:dyDescent="0.25">
      <c r="A30" s="85"/>
      <c r="B30" s="85"/>
      <c r="C30" s="70" t="s">
        <v>22</v>
      </c>
      <c r="D30" s="210" t="s">
        <v>61</v>
      </c>
      <c r="E30" s="124"/>
      <c r="F30" s="141">
        <v>1312519</v>
      </c>
      <c r="G30" s="25"/>
      <c r="H30" s="45"/>
      <c r="I30" s="124"/>
      <c r="J30" s="141">
        <v>0</v>
      </c>
      <c r="K30" s="141"/>
    </row>
    <row r="31" spans="1:11" ht="63" x14ac:dyDescent="0.25">
      <c r="A31" s="85"/>
      <c r="B31" s="85"/>
      <c r="C31" s="70" t="s">
        <v>23</v>
      </c>
      <c r="D31" s="210" t="s">
        <v>61</v>
      </c>
      <c r="E31" s="124"/>
      <c r="F31" s="141">
        <v>1241019</v>
      </c>
      <c r="G31" s="25"/>
      <c r="H31" s="45"/>
      <c r="I31" s="124"/>
      <c r="J31" s="141">
        <v>0</v>
      </c>
      <c r="K31" s="141"/>
    </row>
    <row r="32" spans="1:11" ht="63" x14ac:dyDescent="0.25">
      <c r="A32" s="86"/>
      <c r="B32" s="86"/>
      <c r="C32" s="235" t="s">
        <v>23</v>
      </c>
      <c r="D32" s="211" t="s">
        <v>61</v>
      </c>
      <c r="E32" s="125"/>
      <c r="F32" s="142">
        <v>1241019</v>
      </c>
      <c r="G32" s="26"/>
      <c r="H32" s="288"/>
      <c r="I32" s="125"/>
      <c r="J32" s="142">
        <v>0</v>
      </c>
      <c r="K32" s="142"/>
    </row>
    <row r="33" spans="1:11" ht="26.25" customHeight="1" thickBot="1" x14ac:dyDescent="0.3">
      <c r="A33" s="87"/>
      <c r="B33" s="87"/>
      <c r="C33" s="236" t="s">
        <v>126</v>
      </c>
      <c r="D33" s="207"/>
      <c r="E33" s="123"/>
      <c r="F33" s="143">
        <f>SUM(F17:F32)</f>
        <v>82838609.650000006</v>
      </c>
      <c r="G33" s="46"/>
      <c r="H33" s="288"/>
      <c r="I33" s="123"/>
      <c r="J33" s="143">
        <f>SUM(J17:J32)</f>
        <v>0</v>
      </c>
      <c r="K33" s="170">
        <f>+J33-F33</f>
        <v>-82838609.650000006</v>
      </c>
    </row>
    <row r="34" spans="1:11" ht="34.5" thickBot="1" x14ac:dyDescent="0.3">
      <c r="A34" s="109"/>
      <c r="B34" s="89"/>
      <c r="C34" s="238" t="s">
        <v>26</v>
      </c>
      <c r="D34" s="212"/>
      <c r="E34" s="66"/>
      <c r="F34" s="189"/>
      <c r="G34" s="48"/>
      <c r="H34" s="53"/>
      <c r="I34" s="66"/>
      <c r="J34" s="197"/>
      <c r="K34" s="172"/>
    </row>
    <row r="35" spans="1:11" ht="21" customHeight="1" x14ac:dyDescent="0.25">
      <c r="A35" s="84"/>
      <c r="B35" s="84"/>
      <c r="C35" s="64" t="s">
        <v>89</v>
      </c>
      <c r="D35" s="209" t="s">
        <v>61</v>
      </c>
      <c r="E35" s="126"/>
      <c r="F35" s="140">
        <v>3021000.0047999998</v>
      </c>
      <c r="G35" s="27"/>
      <c r="H35" s="287"/>
      <c r="I35" s="126"/>
      <c r="J35" s="140">
        <v>0</v>
      </c>
      <c r="K35" s="167"/>
    </row>
    <row r="36" spans="1:11" ht="84" x14ac:dyDescent="0.25">
      <c r="A36" s="85"/>
      <c r="B36" s="85"/>
      <c r="C36" s="65" t="s">
        <v>27</v>
      </c>
      <c r="D36" s="210" t="s">
        <v>61</v>
      </c>
      <c r="E36" s="124"/>
      <c r="F36" s="141">
        <v>810000</v>
      </c>
      <c r="G36" s="25"/>
      <c r="H36" s="45"/>
      <c r="I36" s="124"/>
      <c r="J36" s="141">
        <v>0</v>
      </c>
      <c r="K36" s="168"/>
    </row>
    <row r="37" spans="1:11" ht="63" x14ac:dyDescent="0.25">
      <c r="A37" s="85"/>
      <c r="B37" s="85"/>
      <c r="C37" s="81" t="s">
        <v>28</v>
      </c>
      <c r="D37" s="210" t="s">
        <v>61</v>
      </c>
      <c r="E37" s="124"/>
      <c r="F37" s="141">
        <v>5063792.95</v>
      </c>
      <c r="G37" s="25"/>
      <c r="H37" s="45"/>
      <c r="I37" s="124"/>
      <c r="J37" s="141">
        <v>0</v>
      </c>
      <c r="K37" s="168"/>
    </row>
    <row r="38" spans="1:11" ht="21" customHeight="1" x14ac:dyDescent="0.25">
      <c r="A38" s="85"/>
      <c r="B38" s="85"/>
      <c r="C38" s="65" t="s">
        <v>29</v>
      </c>
      <c r="D38" s="210" t="s">
        <v>61</v>
      </c>
      <c r="E38" s="124"/>
      <c r="F38" s="141">
        <v>3415055</v>
      </c>
      <c r="G38" s="25"/>
      <c r="H38" s="45"/>
      <c r="I38" s="124"/>
      <c r="J38" s="141">
        <v>0</v>
      </c>
      <c r="K38" s="168"/>
    </row>
    <row r="39" spans="1:11" ht="21" customHeight="1" x14ac:dyDescent="0.25">
      <c r="A39" s="85"/>
      <c r="B39" s="85"/>
      <c r="C39" s="81" t="s">
        <v>30</v>
      </c>
      <c r="D39" s="210" t="s">
        <v>61</v>
      </c>
      <c r="E39" s="124"/>
      <c r="F39" s="141">
        <v>386616</v>
      </c>
      <c r="G39" s="25"/>
      <c r="H39" s="45"/>
      <c r="I39" s="124"/>
      <c r="J39" s="141">
        <v>0</v>
      </c>
      <c r="K39" s="168"/>
    </row>
    <row r="40" spans="1:11" ht="21" customHeight="1" x14ac:dyDescent="0.25">
      <c r="A40" s="85"/>
      <c r="B40" s="85"/>
      <c r="C40" s="65" t="s">
        <v>31</v>
      </c>
      <c r="D40" s="210" t="s">
        <v>61</v>
      </c>
      <c r="E40" s="124"/>
      <c r="F40" s="141">
        <v>830541.8</v>
      </c>
      <c r="G40" s="25"/>
      <c r="H40" s="45"/>
      <c r="I40" s="124"/>
      <c r="J40" s="141">
        <v>0</v>
      </c>
      <c r="K40" s="168"/>
    </row>
    <row r="41" spans="1:11" ht="21" customHeight="1" x14ac:dyDescent="0.25">
      <c r="A41" s="85"/>
      <c r="B41" s="85"/>
      <c r="C41" s="70" t="s">
        <v>32</v>
      </c>
      <c r="D41" s="210" t="s">
        <v>61</v>
      </c>
      <c r="E41" s="124"/>
      <c r="F41" s="141">
        <v>1620000</v>
      </c>
      <c r="G41" s="25"/>
      <c r="H41" s="45"/>
      <c r="I41" s="124"/>
      <c r="J41" s="141">
        <v>0</v>
      </c>
      <c r="K41" s="168"/>
    </row>
    <row r="42" spans="1:11" ht="21" customHeight="1" x14ac:dyDescent="0.25">
      <c r="A42" s="85"/>
      <c r="B42" s="85"/>
      <c r="C42" s="70" t="s">
        <v>33</v>
      </c>
      <c r="D42" s="210" t="s">
        <v>61</v>
      </c>
      <c r="E42" s="124"/>
      <c r="F42" s="141">
        <v>3969000</v>
      </c>
      <c r="G42" s="25"/>
      <c r="H42" s="45"/>
      <c r="I42" s="124"/>
      <c r="J42" s="141">
        <v>0</v>
      </c>
      <c r="K42" s="168"/>
    </row>
    <row r="43" spans="1:11" ht="21" customHeight="1" x14ac:dyDescent="0.25">
      <c r="A43" s="86"/>
      <c r="B43" s="86"/>
      <c r="C43" s="235" t="s">
        <v>34</v>
      </c>
      <c r="D43" s="211" t="s">
        <v>61</v>
      </c>
      <c r="E43" s="125"/>
      <c r="F43" s="142">
        <v>25649304.039999999</v>
      </c>
      <c r="G43" s="26"/>
      <c r="H43" s="288"/>
      <c r="I43" s="125"/>
      <c r="J43" s="142">
        <v>0</v>
      </c>
      <c r="K43" s="169"/>
    </row>
    <row r="44" spans="1:11" ht="21" customHeight="1" thickBot="1" x14ac:dyDescent="0.3">
      <c r="A44" s="87"/>
      <c r="B44" s="87"/>
      <c r="C44" s="236" t="s">
        <v>127</v>
      </c>
      <c r="D44" s="207"/>
      <c r="E44" s="123"/>
      <c r="F44" s="143">
        <f>SUM(F35:F43)</f>
        <v>44765309.794799998</v>
      </c>
      <c r="G44" s="46"/>
      <c r="H44" s="288"/>
      <c r="I44" s="123"/>
      <c r="J44" s="143">
        <f>SUM(J28:J43)</f>
        <v>0</v>
      </c>
      <c r="K44" s="170">
        <f>+J44-F44</f>
        <v>-44765309.794799998</v>
      </c>
    </row>
    <row r="45" spans="1:11" ht="34.5" thickBot="1" x14ac:dyDescent="0.3">
      <c r="A45" s="110">
        <v>1</v>
      </c>
      <c r="B45" s="90"/>
      <c r="C45" s="239" t="s">
        <v>24</v>
      </c>
      <c r="D45" s="213"/>
      <c r="E45" s="67"/>
      <c r="F45" s="190"/>
      <c r="G45" s="49"/>
      <c r="H45" s="53"/>
      <c r="I45" s="67"/>
      <c r="J45" s="190"/>
      <c r="K45" s="173"/>
    </row>
    <row r="46" spans="1:11" ht="21" customHeight="1" x14ac:dyDescent="0.25">
      <c r="A46" s="84"/>
      <c r="B46" s="91">
        <v>1.01</v>
      </c>
      <c r="C46" s="68" t="s">
        <v>106</v>
      </c>
      <c r="D46" s="214"/>
      <c r="E46" s="68"/>
      <c r="F46" s="191"/>
      <c r="G46" s="11"/>
      <c r="H46" s="37"/>
      <c r="I46" s="68"/>
      <c r="J46" s="191"/>
      <c r="K46" s="68"/>
    </row>
    <row r="47" spans="1:11" ht="21" customHeight="1" x14ac:dyDescent="0.25">
      <c r="A47" s="85"/>
      <c r="B47" s="93"/>
      <c r="C47" s="73" t="s">
        <v>177</v>
      </c>
      <c r="D47" s="215"/>
      <c r="E47" s="128"/>
      <c r="F47" s="145">
        <v>504000</v>
      </c>
      <c r="G47" s="29"/>
      <c r="H47" s="45"/>
      <c r="I47" s="152"/>
      <c r="J47" s="145"/>
      <c r="K47" s="145"/>
    </row>
    <row r="48" spans="1:11" ht="21" customHeight="1" x14ac:dyDescent="0.25">
      <c r="A48" s="85"/>
      <c r="B48" s="93"/>
      <c r="C48" s="73"/>
      <c r="D48" s="215"/>
      <c r="E48" s="130" t="s">
        <v>112</v>
      </c>
      <c r="F48" s="146">
        <f>+SUM(F47)</f>
        <v>504000</v>
      </c>
      <c r="G48" s="35"/>
      <c r="H48" s="289"/>
      <c r="I48" s="153"/>
      <c r="J48" s="146">
        <v>146026767.89999998</v>
      </c>
      <c r="K48" s="268">
        <f>+J48-F48</f>
        <v>145522767.89999998</v>
      </c>
    </row>
    <row r="49" spans="1:25" ht="42" x14ac:dyDescent="0.25">
      <c r="A49" s="85"/>
      <c r="B49" s="92">
        <v>1.02</v>
      </c>
      <c r="C49" s="68" t="s">
        <v>107</v>
      </c>
      <c r="D49" s="214"/>
      <c r="E49" s="68"/>
      <c r="F49" s="191"/>
      <c r="G49" s="11"/>
      <c r="H49" s="37"/>
      <c r="I49" s="68"/>
      <c r="J49" s="191"/>
      <c r="K49" s="68"/>
      <c r="R49" s="55"/>
      <c r="S49" s="55"/>
      <c r="T49" s="56"/>
      <c r="U49" s="57"/>
      <c r="V49" s="56"/>
      <c r="W49" s="56"/>
      <c r="X49" s="57"/>
      <c r="Y49" s="57"/>
    </row>
    <row r="50" spans="1:25" ht="21" customHeight="1" x14ac:dyDescent="0.25">
      <c r="A50" s="85"/>
      <c r="B50" s="93"/>
      <c r="C50" s="69" t="s">
        <v>39</v>
      </c>
      <c r="D50" s="215" t="s">
        <v>102</v>
      </c>
      <c r="E50" s="127"/>
      <c r="F50" s="145">
        <f>3650000+4775000</f>
        <v>8425000</v>
      </c>
      <c r="G50" s="28"/>
      <c r="H50" s="45"/>
      <c r="I50" s="151"/>
      <c r="J50" s="145"/>
      <c r="K50" s="145"/>
    </row>
    <row r="51" spans="1:25" ht="21" customHeight="1" x14ac:dyDescent="0.25">
      <c r="A51" s="85"/>
      <c r="B51" s="93"/>
      <c r="C51" s="69" t="s">
        <v>49</v>
      </c>
      <c r="D51" s="216" t="s">
        <v>103</v>
      </c>
      <c r="E51" s="128">
        <v>200</v>
      </c>
      <c r="F51" s="145">
        <v>5710000.2400000002</v>
      </c>
      <c r="G51" s="29"/>
      <c r="H51" s="45"/>
      <c r="I51" s="151"/>
      <c r="J51" s="145"/>
      <c r="K51" s="145"/>
    </row>
    <row r="52" spans="1:25" ht="21" customHeight="1" x14ac:dyDescent="0.25">
      <c r="A52" s="85"/>
      <c r="B52" s="93"/>
      <c r="C52" s="73" t="s">
        <v>60</v>
      </c>
      <c r="D52" s="215" t="s">
        <v>102</v>
      </c>
      <c r="E52" s="128"/>
      <c r="F52" s="145">
        <v>257789</v>
      </c>
      <c r="G52" s="29"/>
      <c r="H52" s="45"/>
      <c r="I52" s="152"/>
      <c r="J52" s="145"/>
      <c r="K52" s="145"/>
    </row>
    <row r="53" spans="1:25" ht="42" x14ac:dyDescent="0.25">
      <c r="A53" s="85"/>
      <c r="B53" s="93"/>
      <c r="C53" s="240" t="s">
        <v>135</v>
      </c>
      <c r="D53" s="215" t="s">
        <v>103</v>
      </c>
      <c r="E53" s="129"/>
      <c r="F53" s="145">
        <v>2240426.3199999998</v>
      </c>
      <c r="G53" s="30"/>
      <c r="H53" s="45"/>
      <c r="I53" s="152"/>
      <c r="J53" s="145"/>
      <c r="K53" s="145"/>
    </row>
    <row r="54" spans="1:25" ht="21" customHeight="1" x14ac:dyDescent="0.25">
      <c r="A54" s="85"/>
      <c r="B54" s="93"/>
      <c r="C54" s="240" t="s">
        <v>140</v>
      </c>
      <c r="D54" s="215" t="s">
        <v>139</v>
      </c>
      <c r="E54" s="129"/>
      <c r="F54" s="145">
        <v>3200000</v>
      </c>
      <c r="G54" s="30"/>
      <c r="H54" s="45"/>
      <c r="I54" s="152"/>
      <c r="J54" s="145"/>
      <c r="K54" s="145"/>
    </row>
    <row r="55" spans="1:25" ht="21" customHeight="1" x14ac:dyDescent="0.25">
      <c r="A55" s="85"/>
      <c r="B55" s="93"/>
      <c r="C55" s="240" t="s">
        <v>143</v>
      </c>
      <c r="D55" s="215" t="s">
        <v>103</v>
      </c>
      <c r="E55" s="129">
        <v>1</v>
      </c>
      <c r="F55" s="145">
        <v>11090</v>
      </c>
      <c r="G55" s="30"/>
      <c r="H55" s="45"/>
      <c r="I55" s="152"/>
      <c r="J55" s="145"/>
      <c r="K55" s="145"/>
    </row>
    <row r="56" spans="1:25" ht="43.5" customHeight="1" x14ac:dyDescent="0.25">
      <c r="A56" s="85"/>
      <c r="B56" s="93"/>
      <c r="C56" s="251" t="s">
        <v>184</v>
      </c>
      <c r="D56" s="215" t="s">
        <v>61</v>
      </c>
      <c r="E56" s="129"/>
      <c r="F56" s="145">
        <v>5331450</v>
      </c>
      <c r="G56" s="30"/>
      <c r="H56" s="45"/>
      <c r="I56" s="152"/>
      <c r="J56" s="145"/>
      <c r="K56" s="145"/>
    </row>
    <row r="57" spans="1:25" ht="43.5" customHeight="1" x14ac:dyDescent="0.25">
      <c r="A57" s="85"/>
      <c r="B57" s="93"/>
      <c r="C57" s="81" t="s">
        <v>190</v>
      </c>
      <c r="D57" s="215" t="s">
        <v>61</v>
      </c>
      <c r="E57" s="129"/>
      <c r="F57" s="145">
        <v>10078633</v>
      </c>
      <c r="G57" s="30"/>
      <c r="H57" s="45"/>
      <c r="I57" s="152"/>
      <c r="J57" s="145"/>
      <c r="K57" s="145"/>
    </row>
    <row r="58" spans="1:25" ht="43.5" customHeight="1" x14ac:dyDescent="0.25">
      <c r="A58" s="85"/>
      <c r="B58" s="93"/>
      <c r="C58" s="81" t="s">
        <v>218</v>
      </c>
      <c r="D58" s="215" t="s">
        <v>103</v>
      </c>
      <c r="E58" s="129"/>
      <c r="F58" s="145">
        <v>430000</v>
      </c>
      <c r="G58" s="30"/>
      <c r="H58" s="45"/>
      <c r="I58" s="152"/>
      <c r="J58" s="145"/>
      <c r="K58" s="145"/>
    </row>
    <row r="59" spans="1:25" x14ac:dyDescent="0.25">
      <c r="A59" s="85"/>
      <c r="B59" s="93"/>
      <c r="C59" s="241"/>
      <c r="D59" s="217" t="s">
        <v>62</v>
      </c>
      <c r="E59" s="130" t="s">
        <v>112</v>
      </c>
      <c r="F59" s="146">
        <f>SUM(F50:F58)</f>
        <v>35684388.560000002</v>
      </c>
      <c r="G59" s="35"/>
      <c r="H59" s="289"/>
      <c r="I59" s="153">
        <v>242</v>
      </c>
      <c r="J59" s="146">
        <v>12936847.781357445</v>
      </c>
      <c r="K59" s="174">
        <f>+J59-F59</f>
        <v>-22747540.778642558</v>
      </c>
    </row>
    <row r="60" spans="1:25" ht="21" customHeight="1" x14ac:dyDescent="0.25">
      <c r="A60" s="85"/>
      <c r="B60" s="92">
        <v>1.03</v>
      </c>
      <c r="C60" s="68" t="s">
        <v>108</v>
      </c>
      <c r="D60" s="214"/>
      <c r="E60" s="68"/>
      <c r="F60" s="191"/>
      <c r="G60" s="11"/>
      <c r="H60" s="37"/>
      <c r="I60" s="68"/>
      <c r="J60" s="191"/>
      <c r="K60" s="68"/>
    </row>
    <row r="61" spans="1:25" ht="21" customHeight="1" x14ac:dyDescent="0.25">
      <c r="A61" s="85"/>
      <c r="B61" s="93"/>
      <c r="C61" s="70" t="s">
        <v>35</v>
      </c>
      <c r="D61" s="218" t="s">
        <v>62</v>
      </c>
      <c r="E61" s="131"/>
      <c r="F61" s="141">
        <v>9367655.4000000004</v>
      </c>
      <c r="G61" s="31"/>
      <c r="H61" s="45"/>
      <c r="I61" s="131"/>
      <c r="J61" s="141"/>
      <c r="K61" s="141"/>
    </row>
    <row r="62" spans="1:25" ht="21" customHeight="1" x14ac:dyDescent="0.25">
      <c r="A62" s="85"/>
      <c r="B62" s="93"/>
      <c r="C62" s="70"/>
      <c r="D62" s="218"/>
      <c r="E62" s="130" t="s">
        <v>112</v>
      </c>
      <c r="F62" s="146">
        <f>+F61</f>
        <v>9367655.4000000004</v>
      </c>
      <c r="G62" s="35"/>
      <c r="H62" s="289"/>
      <c r="I62" s="153">
        <v>615</v>
      </c>
      <c r="J62" s="146">
        <v>9368295</v>
      </c>
      <c r="K62" s="175">
        <f>+J62-F62</f>
        <v>639.59999999962747</v>
      </c>
    </row>
    <row r="63" spans="1:25" ht="21" customHeight="1" x14ac:dyDescent="0.25">
      <c r="A63" s="85"/>
      <c r="B63" s="92">
        <v>1.04</v>
      </c>
      <c r="C63" s="68" t="s">
        <v>109</v>
      </c>
      <c r="D63" s="214"/>
      <c r="E63" s="68"/>
      <c r="F63" s="191"/>
      <c r="G63" s="11"/>
      <c r="H63" s="37"/>
      <c r="I63" s="68"/>
      <c r="J63" s="191"/>
      <c r="K63" s="68"/>
    </row>
    <row r="64" spans="1:25" ht="21" customHeight="1" x14ac:dyDescent="0.25">
      <c r="A64" s="85"/>
      <c r="B64" s="93"/>
      <c r="C64" s="70" t="s">
        <v>36</v>
      </c>
      <c r="D64" s="218" t="s">
        <v>63</v>
      </c>
      <c r="E64" s="132"/>
      <c r="F64" s="141">
        <v>400000</v>
      </c>
      <c r="G64" s="32"/>
      <c r="H64" s="45"/>
      <c r="I64" s="131"/>
      <c r="J64" s="141"/>
      <c r="K64" s="141"/>
    </row>
    <row r="65" spans="1:11" ht="21" customHeight="1" x14ac:dyDescent="0.25">
      <c r="A65" s="85"/>
      <c r="B65" s="93"/>
      <c r="C65" s="70" t="s">
        <v>44</v>
      </c>
      <c r="D65" s="218" t="s">
        <v>63</v>
      </c>
      <c r="E65" s="124"/>
      <c r="F65" s="141">
        <v>2125000</v>
      </c>
      <c r="G65" s="25"/>
      <c r="H65" s="45"/>
      <c r="I65" s="131"/>
      <c r="J65" s="141"/>
      <c r="K65" s="141"/>
    </row>
    <row r="66" spans="1:11" ht="21" customHeight="1" x14ac:dyDescent="0.25">
      <c r="A66" s="85"/>
      <c r="B66" s="93"/>
      <c r="C66" s="62" t="s">
        <v>9</v>
      </c>
      <c r="D66" s="205" t="s">
        <v>63</v>
      </c>
      <c r="E66" s="133"/>
      <c r="F66" s="141">
        <v>950000</v>
      </c>
      <c r="G66" s="33"/>
      <c r="H66" s="45"/>
      <c r="I66" s="131"/>
      <c r="J66" s="165"/>
      <c r="K66" s="141"/>
    </row>
    <row r="67" spans="1:11" s="8" customFormat="1" ht="21" customHeight="1" x14ac:dyDescent="0.25">
      <c r="A67" s="111"/>
      <c r="B67" s="94"/>
      <c r="C67" s="62" t="s">
        <v>91</v>
      </c>
      <c r="D67" s="205" t="s">
        <v>63</v>
      </c>
      <c r="E67" s="134"/>
      <c r="F67" s="141">
        <v>1912500</v>
      </c>
      <c r="G67" s="34"/>
      <c r="H67" s="45"/>
      <c r="I67" s="131"/>
      <c r="J67" s="141"/>
      <c r="K67" s="141"/>
    </row>
    <row r="68" spans="1:11" s="8" customFormat="1" ht="21" customHeight="1" x14ac:dyDescent="0.25">
      <c r="A68" s="111"/>
      <c r="B68" s="95"/>
      <c r="C68" s="71"/>
      <c r="D68" s="219" t="s">
        <v>63</v>
      </c>
      <c r="E68" s="130" t="s">
        <v>112</v>
      </c>
      <c r="F68" s="146">
        <f>+F64+F65+F66+F67</f>
        <v>5387500</v>
      </c>
      <c r="G68" s="35"/>
      <c r="H68" s="289"/>
      <c r="I68" s="153">
        <v>5</v>
      </c>
      <c r="J68" s="146">
        <v>2120143.2720598402</v>
      </c>
      <c r="K68" s="174">
        <f>+J68-F68</f>
        <v>-3267356.7279401598</v>
      </c>
    </row>
    <row r="69" spans="1:11" s="8" customFormat="1" ht="21" customHeight="1" x14ac:dyDescent="0.25">
      <c r="A69" s="111"/>
      <c r="B69" s="92">
        <v>1.05</v>
      </c>
      <c r="C69" s="242" t="s">
        <v>110</v>
      </c>
      <c r="D69" s="214"/>
      <c r="E69" s="68"/>
      <c r="F69" s="191"/>
      <c r="G69" s="11"/>
      <c r="H69" s="37"/>
      <c r="I69" s="68"/>
      <c r="J69" s="191"/>
      <c r="K69" s="68"/>
    </row>
    <row r="70" spans="1:11" ht="21" customHeight="1" x14ac:dyDescent="0.25">
      <c r="A70" s="85"/>
      <c r="B70" s="93"/>
      <c r="C70" s="6"/>
      <c r="D70" s="6"/>
      <c r="E70" s="6"/>
      <c r="F70" s="6"/>
      <c r="G70" s="29"/>
      <c r="H70" s="45"/>
      <c r="I70" s="128"/>
      <c r="J70" s="145"/>
      <c r="K70" s="145"/>
    </row>
    <row r="71" spans="1:11" ht="21" customHeight="1" x14ac:dyDescent="0.25">
      <c r="A71" s="85"/>
      <c r="B71" s="93"/>
      <c r="C71" s="73"/>
      <c r="D71" s="215"/>
      <c r="E71" s="130" t="s">
        <v>112</v>
      </c>
      <c r="F71" s="146"/>
      <c r="G71" s="35"/>
      <c r="H71" s="289"/>
      <c r="I71" s="153"/>
      <c r="J71" s="146">
        <v>2000000</v>
      </c>
      <c r="K71" s="174">
        <f>+J71-F71</f>
        <v>2000000</v>
      </c>
    </row>
    <row r="72" spans="1:11" s="8" customFormat="1" ht="21" customHeight="1" x14ac:dyDescent="0.25">
      <c r="A72" s="111"/>
      <c r="B72" s="92">
        <v>1.06</v>
      </c>
      <c r="C72" s="242" t="s">
        <v>111</v>
      </c>
      <c r="D72" s="214"/>
      <c r="E72" s="68"/>
      <c r="F72" s="191"/>
      <c r="G72" s="11"/>
      <c r="H72" s="37"/>
      <c r="I72" s="68"/>
      <c r="J72" s="191"/>
      <c r="K72" s="68"/>
    </row>
    <row r="73" spans="1:11" s="8" customFormat="1" ht="42" x14ac:dyDescent="0.25">
      <c r="A73" s="111"/>
      <c r="B73" s="92">
        <v>1.07</v>
      </c>
      <c r="C73" s="243" t="s">
        <v>113</v>
      </c>
      <c r="D73" s="214"/>
      <c r="E73" s="68"/>
      <c r="F73" s="191"/>
      <c r="G73" s="11"/>
      <c r="H73" s="37"/>
      <c r="I73" s="68"/>
      <c r="J73" s="191"/>
      <c r="K73" s="68"/>
    </row>
    <row r="74" spans="1:11" s="8" customFormat="1" ht="63" x14ac:dyDescent="0.25">
      <c r="A74" s="111"/>
      <c r="B74" s="94"/>
      <c r="C74" s="81" t="s">
        <v>37</v>
      </c>
      <c r="D74" s="215" t="s">
        <v>61</v>
      </c>
      <c r="E74" s="135"/>
      <c r="F74" s="141">
        <v>9685148.5600000005</v>
      </c>
      <c r="G74" s="36"/>
      <c r="H74" s="45"/>
      <c r="I74" s="151">
        <v>1</v>
      </c>
      <c r="J74" s="141"/>
      <c r="K74" s="141"/>
    </row>
    <row r="75" spans="1:11" s="8" customFormat="1" ht="21" customHeight="1" x14ac:dyDescent="0.25">
      <c r="A75" s="85"/>
      <c r="B75" s="85"/>
      <c r="C75" s="72" t="s">
        <v>47</v>
      </c>
      <c r="D75" s="220"/>
      <c r="E75" s="136"/>
      <c r="F75" s="147">
        <v>986000</v>
      </c>
      <c r="G75" s="42"/>
      <c r="H75" s="45"/>
      <c r="I75" s="136"/>
      <c r="J75" s="147"/>
      <c r="K75" s="147"/>
    </row>
    <row r="76" spans="1:11" s="8" customFormat="1" ht="21" customHeight="1" x14ac:dyDescent="0.25">
      <c r="A76" s="85"/>
      <c r="B76" s="85"/>
      <c r="C76" s="72" t="s">
        <v>47</v>
      </c>
      <c r="D76" s="220"/>
      <c r="E76" s="136"/>
      <c r="F76" s="147">
        <v>1860000</v>
      </c>
      <c r="G76" s="42"/>
      <c r="H76" s="45"/>
      <c r="I76" s="136"/>
      <c r="J76" s="147"/>
      <c r="K76" s="147"/>
    </row>
    <row r="77" spans="1:11" s="8" customFormat="1" ht="21" customHeight="1" x14ac:dyDescent="0.25">
      <c r="A77" s="85"/>
      <c r="B77" s="85"/>
      <c r="C77" s="72" t="s">
        <v>47</v>
      </c>
      <c r="D77" s="220"/>
      <c r="E77" s="136"/>
      <c r="F77" s="147">
        <v>313200</v>
      </c>
      <c r="G77" s="42"/>
      <c r="H77" s="45"/>
      <c r="I77" s="136"/>
      <c r="J77" s="147"/>
      <c r="K77" s="147"/>
    </row>
    <row r="78" spans="1:11" s="8" customFormat="1" ht="21" customHeight="1" x14ac:dyDescent="0.25">
      <c r="A78" s="111"/>
      <c r="B78" s="94"/>
      <c r="C78" s="244"/>
      <c r="D78" s="221"/>
      <c r="E78" s="137" t="s">
        <v>112</v>
      </c>
      <c r="F78" s="146">
        <f>+SUM(F74:F77)</f>
        <v>12844348.560000001</v>
      </c>
      <c r="G78" s="35"/>
      <c r="H78" s="45"/>
      <c r="I78" s="153">
        <v>1</v>
      </c>
      <c r="J78" s="146">
        <v>11499149</v>
      </c>
      <c r="K78" s="176">
        <f>+J78-F78</f>
        <v>-1345199.5600000005</v>
      </c>
    </row>
    <row r="79" spans="1:11" s="8" customFormat="1" ht="21" customHeight="1" x14ac:dyDescent="0.25">
      <c r="A79" s="111"/>
      <c r="B79" s="96">
        <v>1.08</v>
      </c>
      <c r="C79" s="68" t="s">
        <v>114</v>
      </c>
      <c r="D79" s="214"/>
      <c r="E79" s="68"/>
      <c r="F79" s="191"/>
      <c r="G79" s="11"/>
      <c r="H79" s="37"/>
      <c r="I79" s="68"/>
      <c r="J79" s="191"/>
      <c r="K79" s="68"/>
    </row>
    <row r="80" spans="1:11" ht="21" customHeight="1" x14ac:dyDescent="0.25">
      <c r="A80" s="111"/>
      <c r="B80" s="96">
        <v>1.0900000000000001</v>
      </c>
      <c r="C80" s="68" t="s">
        <v>115</v>
      </c>
      <c r="D80" s="214"/>
      <c r="E80" s="68"/>
      <c r="F80" s="191"/>
      <c r="G80" s="11"/>
      <c r="H80" s="37"/>
      <c r="I80" s="68"/>
      <c r="J80" s="191"/>
      <c r="K80" s="68"/>
    </row>
    <row r="81" spans="1:11" ht="21" customHeight="1" x14ac:dyDescent="0.25">
      <c r="A81" s="85"/>
      <c r="B81" s="93"/>
      <c r="C81" s="240" t="s">
        <v>100</v>
      </c>
      <c r="D81" s="215" t="s">
        <v>61</v>
      </c>
      <c r="E81" s="129"/>
      <c r="F81" s="145">
        <v>2150000.84</v>
      </c>
      <c r="G81" s="30"/>
      <c r="H81" s="45"/>
      <c r="I81" s="128">
        <v>1</v>
      </c>
      <c r="J81" s="145"/>
      <c r="K81" s="145"/>
    </row>
    <row r="82" spans="1:11" ht="21" customHeight="1" x14ac:dyDescent="0.25">
      <c r="A82" s="85"/>
      <c r="B82" s="93"/>
      <c r="C82" s="240" t="s">
        <v>217</v>
      </c>
      <c r="D82" s="215"/>
      <c r="E82" s="129"/>
      <c r="F82" s="145">
        <v>866000</v>
      </c>
      <c r="G82" s="30"/>
      <c r="H82" s="45"/>
      <c r="I82" s="128"/>
      <c r="J82" s="145"/>
      <c r="K82" s="145"/>
    </row>
    <row r="83" spans="1:11" ht="21" customHeight="1" x14ac:dyDescent="0.25">
      <c r="A83" s="85"/>
      <c r="B83" s="93"/>
      <c r="C83" s="240" t="s">
        <v>223</v>
      </c>
      <c r="D83" s="215"/>
      <c r="E83" s="129"/>
      <c r="F83" s="145">
        <v>12890436</v>
      </c>
      <c r="G83" s="30"/>
      <c r="H83" s="45"/>
      <c r="I83" s="128"/>
      <c r="J83" s="145"/>
      <c r="K83" s="145"/>
    </row>
    <row r="84" spans="1:11" ht="21" customHeight="1" x14ac:dyDescent="0.25">
      <c r="A84" s="85"/>
      <c r="B84" s="93"/>
      <c r="C84" s="240" t="s">
        <v>222</v>
      </c>
      <c r="D84" s="215"/>
      <c r="E84" s="129"/>
      <c r="F84" s="145">
        <v>14354822</v>
      </c>
      <c r="G84" s="30"/>
      <c r="H84" s="45"/>
      <c r="I84" s="128"/>
      <c r="J84" s="145"/>
      <c r="K84" s="145"/>
    </row>
    <row r="85" spans="1:11" ht="21" customHeight="1" x14ac:dyDescent="0.25">
      <c r="A85" s="85"/>
      <c r="B85" s="93"/>
      <c r="C85" s="73" t="s">
        <v>48</v>
      </c>
      <c r="D85" s="215" t="s">
        <v>103</v>
      </c>
      <c r="E85" s="128"/>
      <c r="F85" s="145">
        <v>5069200</v>
      </c>
      <c r="G85" s="30"/>
      <c r="H85" s="45"/>
      <c r="I85" s="128"/>
      <c r="J85" s="145"/>
      <c r="K85" s="145"/>
    </row>
    <row r="86" spans="1:11" ht="21" customHeight="1" x14ac:dyDescent="0.25">
      <c r="A86" s="85"/>
      <c r="B86" s="93"/>
      <c r="C86" s="245"/>
      <c r="D86" s="222"/>
      <c r="E86" s="137" t="s">
        <v>112</v>
      </c>
      <c r="F86" s="146">
        <f>SUM(F81:F85)</f>
        <v>35330458.840000004</v>
      </c>
      <c r="G86" s="35"/>
      <c r="H86" s="45"/>
      <c r="I86" s="153">
        <v>1</v>
      </c>
      <c r="J86" s="146">
        <v>32204542</v>
      </c>
      <c r="K86" s="176">
        <f>+J86-F86</f>
        <v>-3125916.8400000036</v>
      </c>
    </row>
    <row r="87" spans="1:11" ht="21" customHeight="1" x14ac:dyDescent="0.25">
      <c r="A87" s="85"/>
      <c r="B87" s="96">
        <v>1.1000000000000001</v>
      </c>
      <c r="C87" s="68" t="s">
        <v>116</v>
      </c>
      <c r="D87" s="214"/>
      <c r="E87" s="68"/>
      <c r="F87" s="191"/>
      <c r="G87" s="11"/>
      <c r="H87" s="37"/>
      <c r="I87" s="68"/>
      <c r="J87" s="191"/>
      <c r="K87" s="68"/>
    </row>
    <row r="88" spans="1:11" ht="21" x14ac:dyDescent="0.25">
      <c r="A88" s="85"/>
      <c r="B88" s="96">
        <v>1.1100000000000001</v>
      </c>
      <c r="C88" s="68" t="s">
        <v>117</v>
      </c>
      <c r="D88" s="214"/>
      <c r="E88" s="68"/>
      <c r="F88" s="191"/>
      <c r="G88" s="11"/>
      <c r="H88" s="37"/>
      <c r="I88" s="68"/>
      <c r="J88" s="191"/>
      <c r="K88" s="68"/>
    </row>
    <row r="89" spans="1:11" ht="21" customHeight="1" x14ac:dyDescent="0.25">
      <c r="A89" s="85"/>
      <c r="B89" s="96">
        <v>1.1200000000000001</v>
      </c>
      <c r="C89" s="68" t="s">
        <v>118</v>
      </c>
      <c r="D89" s="214"/>
      <c r="E89" s="68"/>
      <c r="F89" s="191"/>
      <c r="G89" s="11"/>
      <c r="H89" s="37"/>
      <c r="I89" s="68"/>
      <c r="J89" s="191"/>
      <c r="K89" s="68"/>
    </row>
    <row r="90" spans="1:11" ht="21" customHeight="1" x14ac:dyDescent="0.25">
      <c r="A90" s="85"/>
      <c r="B90" s="96">
        <v>1.1299999999999999</v>
      </c>
      <c r="C90" s="68" t="s">
        <v>119</v>
      </c>
      <c r="D90" s="214"/>
      <c r="E90" s="68"/>
      <c r="F90" s="191"/>
      <c r="G90" s="37"/>
      <c r="H90" s="37"/>
      <c r="I90" s="68"/>
      <c r="J90" s="191"/>
      <c r="K90" s="68"/>
    </row>
    <row r="91" spans="1:11" ht="21" customHeight="1" x14ac:dyDescent="0.25">
      <c r="A91" s="85"/>
      <c r="B91" s="93"/>
      <c r="C91" s="73" t="s">
        <v>45</v>
      </c>
      <c r="D91" s="215" t="s">
        <v>64</v>
      </c>
      <c r="E91" s="128"/>
      <c r="F91" s="145">
        <v>633600</v>
      </c>
      <c r="G91" s="29"/>
      <c r="H91" s="45"/>
      <c r="I91" s="128">
        <v>2</v>
      </c>
      <c r="J91" s="145"/>
      <c r="K91" s="145"/>
    </row>
    <row r="92" spans="1:11" ht="21" customHeight="1" x14ac:dyDescent="0.25">
      <c r="A92" s="85"/>
      <c r="B92" s="93"/>
      <c r="C92" s="73" t="s">
        <v>46</v>
      </c>
      <c r="D92" s="223" t="s">
        <v>64</v>
      </c>
      <c r="E92" s="128"/>
      <c r="F92" s="145">
        <v>1340000</v>
      </c>
      <c r="G92" s="29"/>
      <c r="H92" s="45"/>
      <c r="I92" s="128">
        <v>2</v>
      </c>
      <c r="J92" s="145"/>
      <c r="K92" s="145"/>
    </row>
    <row r="93" spans="1:11" ht="21" customHeight="1" x14ac:dyDescent="0.25">
      <c r="A93" s="85"/>
      <c r="B93" s="93"/>
      <c r="C93" s="245"/>
      <c r="D93" s="222"/>
      <c r="E93" s="137" t="s">
        <v>112</v>
      </c>
      <c r="F93" s="146">
        <f>+F91+F92</f>
        <v>1973600</v>
      </c>
      <c r="G93" s="35"/>
      <c r="H93" s="45"/>
      <c r="I93" s="153">
        <v>1</v>
      </c>
      <c r="J93" s="146">
        <v>3298723.8291834071</v>
      </c>
      <c r="K93" s="176">
        <f>+J93-F93</f>
        <v>1325123.8291834071</v>
      </c>
    </row>
    <row r="94" spans="1:11" ht="21" customHeight="1" x14ac:dyDescent="0.25">
      <c r="A94" s="3"/>
      <c r="B94" s="96">
        <v>1.1399999999999999</v>
      </c>
      <c r="C94" s="68" t="s">
        <v>130</v>
      </c>
      <c r="D94" s="214"/>
      <c r="E94" s="68"/>
      <c r="F94" s="191"/>
      <c r="G94" s="11"/>
      <c r="H94" s="37"/>
      <c r="I94" s="68"/>
      <c r="J94" s="191"/>
      <c r="K94" s="68"/>
    </row>
    <row r="95" spans="1:11" s="58" customFormat="1" ht="21" customHeight="1" x14ac:dyDescent="0.25">
      <c r="A95" s="85"/>
      <c r="B95" s="93"/>
      <c r="C95" s="73" t="s">
        <v>144</v>
      </c>
      <c r="D95" s="223" t="s">
        <v>64</v>
      </c>
      <c r="E95" s="128"/>
      <c r="F95" s="145">
        <v>175544</v>
      </c>
      <c r="G95" s="29">
        <v>3504728.88</v>
      </c>
      <c r="H95" s="45">
        <v>3504728.88</v>
      </c>
      <c r="I95" s="128"/>
      <c r="J95" s="145"/>
      <c r="K95" s="145"/>
    </row>
    <row r="96" spans="1:11" s="58" customFormat="1" ht="21" customHeight="1" x14ac:dyDescent="0.25">
      <c r="A96" s="85"/>
      <c r="B96" s="93"/>
      <c r="C96" s="240" t="s">
        <v>141</v>
      </c>
      <c r="D96" s="215" t="s">
        <v>103</v>
      </c>
      <c r="E96" s="129"/>
      <c r="F96" s="145">
        <v>330000</v>
      </c>
      <c r="G96" s="29"/>
      <c r="H96" s="45"/>
      <c r="I96" s="128"/>
      <c r="J96" s="145"/>
      <c r="K96" s="145"/>
    </row>
    <row r="97" spans="1:11" s="58" customFormat="1" ht="21" customHeight="1" x14ac:dyDescent="0.25">
      <c r="A97" s="85"/>
      <c r="B97" s="93"/>
      <c r="C97" s="73"/>
      <c r="D97" s="223"/>
      <c r="E97" s="137" t="s">
        <v>112</v>
      </c>
      <c r="F97" s="146">
        <f>F95+F96</f>
        <v>505544</v>
      </c>
      <c r="G97" s="35"/>
      <c r="H97" s="45"/>
      <c r="I97" s="153">
        <v>1</v>
      </c>
      <c r="J97" s="146">
        <v>1920000</v>
      </c>
      <c r="K97" s="176">
        <f>+J97-F97</f>
        <v>1414456</v>
      </c>
    </row>
    <row r="98" spans="1:11" ht="21" customHeight="1" x14ac:dyDescent="0.25">
      <c r="A98" s="3"/>
      <c r="B98" s="96">
        <v>1.1499999999999999</v>
      </c>
      <c r="C98" s="68" t="s">
        <v>131</v>
      </c>
      <c r="D98" s="214"/>
      <c r="E98" s="68"/>
      <c r="F98" s="191"/>
      <c r="G98" s="11"/>
      <c r="H98" s="37"/>
      <c r="I98" s="68"/>
      <c r="J98" s="191"/>
      <c r="K98" s="68"/>
    </row>
    <row r="99" spans="1:11" ht="21" customHeight="1" x14ac:dyDescent="0.25">
      <c r="A99" s="85"/>
      <c r="B99" s="93"/>
      <c r="C99" s="73" t="s">
        <v>99</v>
      </c>
      <c r="D99" s="223" t="s">
        <v>103</v>
      </c>
      <c r="E99" s="128"/>
      <c r="F99" s="145">
        <v>1600889</v>
      </c>
      <c r="G99" s="29"/>
      <c r="H99" s="45"/>
      <c r="I99" s="128"/>
      <c r="J99" s="145"/>
      <c r="K99" s="145"/>
    </row>
    <row r="100" spans="1:11" ht="21" customHeight="1" x14ac:dyDescent="0.25">
      <c r="A100" s="85"/>
      <c r="B100" s="93"/>
      <c r="C100" s="73" t="s">
        <v>172</v>
      </c>
      <c r="D100" s="223" t="s">
        <v>103</v>
      </c>
      <c r="E100" s="128"/>
      <c r="F100" s="145">
        <v>586468</v>
      </c>
      <c r="G100" s="29"/>
      <c r="H100" s="45"/>
      <c r="I100" s="128"/>
      <c r="J100" s="145"/>
      <c r="K100" s="145"/>
    </row>
    <row r="101" spans="1:11" ht="21" customHeight="1" x14ac:dyDescent="0.25">
      <c r="A101" s="85"/>
      <c r="B101" s="93"/>
      <c r="C101" s="73" t="s">
        <v>202</v>
      </c>
      <c r="D101" s="223" t="s">
        <v>103</v>
      </c>
      <c r="E101" s="128"/>
      <c r="F101" s="145">
        <v>471198</v>
      </c>
      <c r="G101" s="29"/>
      <c r="H101" s="45"/>
      <c r="I101" s="128"/>
      <c r="J101" s="145"/>
      <c r="K101" s="145"/>
    </row>
    <row r="102" spans="1:11" ht="21" customHeight="1" x14ac:dyDescent="0.25">
      <c r="A102" s="85"/>
      <c r="B102" s="93"/>
      <c r="C102" s="73"/>
      <c r="D102" s="223"/>
      <c r="E102" s="137" t="s">
        <v>112</v>
      </c>
      <c r="F102" s="146">
        <f>SUM(F99:F101)</f>
        <v>2658555</v>
      </c>
      <c r="G102" s="35"/>
      <c r="H102" s="45"/>
      <c r="I102" s="153">
        <v>1</v>
      </c>
      <c r="J102" s="146">
        <v>15000000</v>
      </c>
      <c r="K102" s="176">
        <f>+J102-F102</f>
        <v>12341445</v>
      </c>
    </row>
    <row r="103" spans="1:11" ht="21" customHeight="1" x14ac:dyDescent="0.25">
      <c r="A103" s="3"/>
      <c r="B103" s="96">
        <v>1.1599999999999999</v>
      </c>
      <c r="C103" s="68" t="s">
        <v>132</v>
      </c>
      <c r="D103" s="214"/>
      <c r="E103" s="68"/>
      <c r="F103" s="191"/>
      <c r="G103" s="11"/>
      <c r="H103" s="37"/>
      <c r="I103" s="68"/>
      <c r="J103" s="191"/>
      <c r="K103" s="68"/>
    </row>
    <row r="104" spans="1:11" ht="21" customHeight="1" x14ac:dyDescent="0.25">
      <c r="A104" s="85"/>
      <c r="B104" s="93"/>
      <c r="C104" s="246" t="s">
        <v>92</v>
      </c>
      <c r="D104" s="224" t="s">
        <v>64</v>
      </c>
      <c r="E104" s="138"/>
      <c r="F104" s="148">
        <v>928000</v>
      </c>
      <c r="G104" s="41"/>
      <c r="H104" s="45"/>
      <c r="I104" s="138">
        <v>1</v>
      </c>
      <c r="J104" s="148"/>
      <c r="K104" s="141"/>
    </row>
    <row r="105" spans="1:11" ht="21" customHeight="1" x14ac:dyDescent="0.25">
      <c r="A105" s="85"/>
      <c r="B105" s="93"/>
      <c r="C105" s="246" t="s">
        <v>154</v>
      </c>
      <c r="D105" s="224" t="s">
        <v>103</v>
      </c>
      <c r="E105" s="138"/>
      <c r="F105" s="148">
        <v>116560</v>
      </c>
      <c r="G105" s="41"/>
      <c r="H105" s="45"/>
      <c r="I105" s="138"/>
      <c r="J105" s="148"/>
      <c r="K105" s="141"/>
    </row>
    <row r="106" spans="1:11" ht="21" customHeight="1" x14ac:dyDescent="0.25">
      <c r="A106" s="112"/>
      <c r="B106" s="97"/>
      <c r="C106" s="69" t="s">
        <v>40</v>
      </c>
      <c r="D106" s="216" t="s">
        <v>64</v>
      </c>
      <c r="E106" s="127"/>
      <c r="F106" s="145">
        <v>5899835.4000000004</v>
      </c>
      <c r="G106" s="28"/>
      <c r="H106" s="45"/>
      <c r="I106" s="127"/>
      <c r="J106" s="145"/>
      <c r="K106" s="145"/>
    </row>
    <row r="107" spans="1:11" ht="21" customHeight="1" x14ac:dyDescent="0.25">
      <c r="A107" s="112"/>
      <c r="B107" s="97"/>
      <c r="C107" s="69" t="s">
        <v>41</v>
      </c>
      <c r="D107" s="216" t="s">
        <v>64</v>
      </c>
      <c r="E107" s="127"/>
      <c r="F107" s="145">
        <v>614406.76</v>
      </c>
      <c r="G107" s="28"/>
      <c r="H107" s="45"/>
      <c r="I107" s="127"/>
      <c r="J107" s="145"/>
      <c r="K107" s="145"/>
    </row>
    <row r="108" spans="1:11" ht="21" customHeight="1" x14ac:dyDescent="0.25">
      <c r="A108" s="112"/>
      <c r="B108" s="97"/>
      <c r="C108" s="69" t="s">
        <v>42</v>
      </c>
      <c r="D108" s="216" t="s">
        <v>64</v>
      </c>
      <c r="E108" s="128"/>
      <c r="F108" s="145">
        <v>505500</v>
      </c>
      <c r="G108" s="29"/>
      <c r="H108" s="45"/>
      <c r="I108" s="128"/>
      <c r="J108" s="145"/>
      <c r="K108" s="145"/>
    </row>
    <row r="109" spans="1:11" ht="21" customHeight="1" x14ac:dyDescent="0.25">
      <c r="A109" s="112"/>
      <c r="B109" s="97"/>
      <c r="C109" s="73" t="s">
        <v>211</v>
      </c>
      <c r="D109" s="216" t="s">
        <v>64</v>
      </c>
      <c r="E109" s="128"/>
      <c r="F109" s="145">
        <v>10924500</v>
      </c>
      <c r="G109" s="29"/>
      <c r="H109" s="45"/>
      <c r="I109" s="128"/>
      <c r="J109" s="145"/>
      <c r="K109" s="145"/>
    </row>
    <row r="110" spans="1:11" ht="21" customHeight="1" x14ac:dyDescent="0.25">
      <c r="A110" s="112"/>
      <c r="B110" s="97"/>
      <c r="C110" s="65" t="s">
        <v>90</v>
      </c>
      <c r="D110" s="215" t="s">
        <v>103</v>
      </c>
      <c r="E110" s="129"/>
      <c r="F110" s="145">
        <v>916400</v>
      </c>
      <c r="G110" s="29"/>
      <c r="H110" s="45"/>
      <c r="I110" s="128"/>
      <c r="J110" s="145"/>
      <c r="K110" s="145"/>
    </row>
    <row r="111" spans="1:11" ht="21" customHeight="1" x14ac:dyDescent="0.25">
      <c r="A111" s="112"/>
      <c r="B111" s="97"/>
      <c r="C111" s="73" t="s">
        <v>43</v>
      </c>
      <c r="D111" s="215" t="s">
        <v>102</v>
      </c>
      <c r="E111" s="128"/>
      <c r="F111" s="145">
        <v>6666282.2000000002</v>
      </c>
      <c r="G111" s="29"/>
      <c r="H111" s="45"/>
      <c r="I111" s="128"/>
      <c r="J111" s="145"/>
      <c r="K111" s="145"/>
    </row>
    <row r="112" spans="1:11" ht="21" customHeight="1" x14ac:dyDescent="0.25">
      <c r="A112" s="112"/>
      <c r="B112" s="97"/>
      <c r="C112" s="240" t="s">
        <v>219</v>
      </c>
      <c r="D112" s="215" t="s">
        <v>102</v>
      </c>
      <c r="E112" s="129"/>
      <c r="F112" s="145">
        <v>2860720</v>
      </c>
      <c r="G112" s="29"/>
      <c r="H112" s="45"/>
      <c r="I112" s="128"/>
      <c r="J112" s="145"/>
      <c r="K112" s="145"/>
    </row>
    <row r="113" spans="1:11" ht="21" customHeight="1" x14ac:dyDescent="0.25">
      <c r="A113" s="112"/>
      <c r="B113" s="97"/>
      <c r="C113" s="6"/>
      <c r="D113" s="216"/>
      <c r="E113" s="128"/>
      <c r="F113" s="145"/>
      <c r="G113" s="29"/>
      <c r="H113" s="45"/>
      <c r="I113" s="128"/>
      <c r="J113" s="145"/>
      <c r="K113" s="145"/>
    </row>
    <row r="114" spans="1:11" ht="15.75" customHeight="1" x14ac:dyDescent="0.25">
      <c r="A114" s="85"/>
      <c r="B114" s="93"/>
      <c r="C114" s="246"/>
      <c r="D114" s="224"/>
      <c r="E114" s="137" t="s">
        <v>112</v>
      </c>
      <c r="F114" s="146">
        <f>SUM(F104:F112)</f>
        <v>29432204.359999999</v>
      </c>
      <c r="G114" s="35"/>
      <c r="H114" s="45"/>
      <c r="I114" s="153">
        <v>2</v>
      </c>
      <c r="J114" s="146">
        <v>25000000</v>
      </c>
      <c r="K114" s="176">
        <f>+J114-F114</f>
        <v>-4432204.3599999994</v>
      </c>
    </row>
    <row r="115" spans="1:11" ht="21" customHeight="1" x14ac:dyDescent="0.25">
      <c r="A115" s="3"/>
      <c r="B115" s="96">
        <v>1.17</v>
      </c>
      <c r="C115" s="68" t="s">
        <v>133</v>
      </c>
      <c r="D115" s="214"/>
      <c r="E115" s="68"/>
      <c r="F115" s="191"/>
      <c r="G115" s="11"/>
      <c r="H115" s="37"/>
      <c r="I115" s="68"/>
      <c r="J115" s="191"/>
      <c r="K115" s="68"/>
    </row>
    <row r="116" spans="1:11" ht="21" customHeight="1" x14ac:dyDescent="0.25">
      <c r="A116" s="112"/>
      <c r="B116" s="96">
        <v>1.18</v>
      </c>
      <c r="C116" s="68" t="s">
        <v>38</v>
      </c>
      <c r="D116" s="214"/>
      <c r="E116" s="68"/>
      <c r="F116" s="191"/>
      <c r="G116" s="11"/>
      <c r="H116" s="37"/>
      <c r="I116" s="68"/>
      <c r="J116" s="191"/>
      <c r="K116" s="68"/>
    </row>
    <row r="117" spans="1:11" x14ac:dyDescent="0.25">
      <c r="A117" s="112"/>
      <c r="B117" s="97"/>
      <c r="C117" s="69" t="s">
        <v>38</v>
      </c>
      <c r="D117" s="216" t="s">
        <v>63</v>
      </c>
      <c r="E117" s="127"/>
      <c r="F117" s="145">
        <v>5520600</v>
      </c>
      <c r="G117" s="28"/>
      <c r="H117" s="45"/>
      <c r="I117" s="127"/>
      <c r="J117" s="145"/>
      <c r="K117" s="145"/>
    </row>
    <row r="118" spans="1:11" ht="21" customHeight="1" x14ac:dyDescent="0.25">
      <c r="A118" s="113"/>
      <c r="B118" s="98"/>
      <c r="C118" s="247"/>
      <c r="D118" s="225"/>
      <c r="E118" s="137" t="s">
        <v>112</v>
      </c>
      <c r="F118" s="146">
        <f>+F117+U49</f>
        <v>5520600</v>
      </c>
      <c r="G118" s="35"/>
      <c r="H118" s="45"/>
      <c r="I118" s="153"/>
      <c r="J118" s="146">
        <v>5520600</v>
      </c>
      <c r="K118" s="176">
        <f>+J118-F118</f>
        <v>0</v>
      </c>
    </row>
    <row r="119" spans="1:11" ht="21" customHeight="1" x14ac:dyDescent="0.25">
      <c r="A119" s="113"/>
      <c r="B119" s="96">
        <v>1.19</v>
      </c>
      <c r="C119" s="68" t="s">
        <v>194</v>
      </c>
      <c r="D119" s="214"/>
      <c r="E119" s="68"/>
      <c r="F119" s="191"/>
      <c r="G119" s="11"/>
      <c r="H119" s="37"/>
      <c r="I119" s="68"/>
      <c r="J119" s="191"/>
      <c r="K119" s="68"/>
    </row>
    <row r="120" spans="1:11" x14ac:dyDescent="0.25">
      <c r="A120" s="112"/>
      <c r="B120" s="97"/>
      <c r="C120" s="69" t="s">
        <v>195</v>
      </c>
      <c r="D120" s="216"/>
      <c r="E120" s="127"/>
      <c r="F120" s="145">
        <v>3099228</v>
      </c>
      <c r="G120" s="28"/>
      <c r="H120" s="45"/>
      <c r="I120" s="127"/>
      <c r="J120" s="145"/>
      <c r="K120" s="145"/>
    </row>
    <row r="121" spans="1:11" x14ac:dyDescent="0.25">
      <c r="A121" s="113"/>
      <c r="B121" s="98"/>
      <c r="C121" s="299" t="s">
        <v>197</v>
      </c>
      <c r="D121" s="300"/>
      <c r="E121" s="127"/>
      <c r="F121" s="145">
        <f>8112001*18%</f>
        <v>1460160.18</v>
      </c>
      <c r="G121" s="28"/>
      <c r="H121" s="45"/>
      <c r="I121" s="127"/>
      <c r="J121" s="145"/>
      <c r="K121" s="145"/>
    </row>
    <row r="122" spans="1:11" x14ac:dyDescent="0.25">
      <c r="A122" s="113"/>
      <c r="B122" s="98"/>
      <c r="C122" s="299" t="s">
        <v>226</v>
      </c>
      <c r="D122" s="300"/>
      <c r="E122" s="127"/>
      <c r="F122" s="145">
        <v>1468950</v>
      </c>
      <c r="G122" s="28"/>
      <c r="H122" s="45"/>
      <c r="I122" s="127"/>
      <c r="J122" s="145"/>
      <c r="K122" s="145"/>
    </row>
    <row r="123" spans="1:11" ht="21" customHeight="1" x14ac:dyDescent="0.25">
      <c r="A123" s="113"/>
      <c r="B123" s="281"/>
      <c r="C123" s="282"/>
      <c r="D123" s="283"/>
      <c r="E123" s="137" t="s">
        <v>112</v>
      </c>
      <c r="F123" s="146">
        <f>+SUM(F120:F122)</f>
        <v>6028338.1799999997</v>
      </c>
      <c r="G123" s="35"/>
      <c r="H123" s="45"/>
      <c r="I123" s="153"/>
      <c r="J123" s="146">
        <v>22787200</v>
      </c>
      <c r="K123" s="176"/>
    </row>
    <row r="124" spans="1:11" ht="34.5" thickBot="1" x14ac:dyDescent="0.3">
      <c r="A124" s="87"/>
      <c r="B124" s="87"/>
      <c r="C124" s="236" t="s">
        <v>155</v>
      </c>
      <c r="D124" s="207"/>
      <c r="E124" s="123"/>
      <c r="F124" s="149">
        <f>+F59+F62+F68+F78+F86+F93+F97+F102+F114+F118+F123+F71+F48</f>
        <v>145237192.90000004</v>
      </c>
      <c r="G124" s="50"/>
      <c r="H124" s="288"/>
      <c r="I124" s="154"/>
      <c r="J124" s="149">
        <v>110573442.21958506</v>
      </c>
      <c r="K124" s="177">
        <f>+J124-F124</f>
        <v>-34663750.680414975</v>
      </c>
    </row>
    <row r="125" spans="1:11" ht="34.5" thickBot="1" x14ac:dyDescent="0.3">
      <c r="A125" s="114">
        <v>2</v>
      </c>
      <c r="B125" s="99"/>
      <c r="C125" s="248" t="s">
        <v>50</v>
      </c>
      <c r="D125" s="226"/>
      <c r="E125" s="74"/>
      <c r="F125" s="192"/>
      <c r="G125" s="51"/>
      <c r="H125" s="53"/>
      <c r="I125" s="74"/>
      <c r="J125" s="192"/>
      <c r="K125" s="178"/>
    </row>
    <row r="126" spans="1:11" ht="21" customHeight="1" x14ac:dyDescent="0.25">
      <c r="A126" s="84"/>
      <c r="B126" s="100">
        <v>2.0099999999999998</v>
      </c>
      <c r="C126" s="75" t="s">
        <v>120</v>
      </c>
      <c r="D126" s="227"/>
      <c r="E126" s="75"/>
      <c r="F126" s="193"/>
      <c r="G126" s="16"/>
      <c r="H126" s="39"/>
      <c r="I126" s="75"/>
      <c r="J126" s="193"/>
      <c r="K126" s="75"/>
    </row>
    <row r="127" spans="1:11" ht="42" x14ac:dyDescent="0.25">
      <c r="A127" s="85"/>
      <c r="B127" s="93"/>
      <c r="C127" s="70" t="s">
        <v>94</v>
      </c>
      <c r="D127" s="218" t="s">
        <v>64</v>
      </c>
      <c r="E127" s="124"/>
      <c r="F127" s="141">
        <v>103571952</v>
      </c>
      <c r="G127" s="25"/>
      <c r="H127" s="45"/>
      <c r="I127" s="155">
        <v>1</v>
      </c>
      <c r="J127" s="141"/>
      <c r="K127" s="141"/>
    </row>
    <row r="128" spans="1:11" ht="42" x14ac:dyDescent="0.25">
      <c r="A128" s="85"/>
      <c r="B128" s="93"/>
      <c r="C128" s="70" t="s">
        <v>93</v>
      </c>
      <c r="D128" s="218" t="s">
        <v>64</v>
      </c>
      <c r="E128" s="124"/>
      <c r="F128" s="141">
        <v>67039468</v>
      </c>
      <c r="G128" s="25"/>
      <c r="H128" s="45"/>
      <c r="I128" s="155">
        <v>1</v>
      </c>
      <c r="J128" s="141"/>
      <c r="K128" s="141"/>
    </row>
    <row r="129" spans="1:11" ht="42" x14ac:dyDescent="0.25">
      <c r="A129" s="85"/>
      <c r="B129" s="93"/>
      <c r="C129" s="70" t="s">
        <v>95</v>
      </c>
      <c r="D129" s="218" t="s">
        <v>64</v>
      </c>
      <c r="E129" s="124"/>
      <c r="F129" s="141">
        <v>92628417.5</v>
      </c>
      <c r="G129" s="25"/>
      <c r="H129" s="45"/>
      <c r="I129" s="155">
        <v>1</v>
      </c>
      <c r="J129" s="141"/>
      <c r="K129" s="141"/>
    </row>
    <row r="130" spans="1:11" ht="42" x14ac:dyDescent="0.25">
      <c r="A130" s="85"/>
      <c r="B130" s="93"/>
      <c r="C130" s="70" t="s">
        <v>204</v>
      </c>
      <c r="D130" s="218" t="s">
        <v>64</v>
      </c>
      <c r="E130" s="124"/>
      <c r="F130" s="141">
        <v>73264268</v>
      </c>
      <c r="G130" s="25"/>
      <c r="H130" s="45"/>
      <c r="I130" s="155">
        <v>1</v>
      </c>
      <c r="J130" s="141"/>
      <c r="K130" s="141"/>
    </row>
    <row r="131" spans="1:11" ht="21" customHeight="1" x14ac:dyDescent="0.25">
      <c r="A131" s="85"/>
      <c r="B131" s="93"/>
      <c r="C131" s="70" t="s">
        <v>129</v>
      </c>
      <c r="D131" s="218" t="s">
        <v>103</v>
      </c>
      <c r="E131" s="124"/>
      <c r="F131" s="141">
        <v>916400</v>
      </c>
      <c r="G131" s="25"/>
      <c r="H131" s="45"/>
      <c r="I131" s="155"/>
      <c r="J131" s="141"/>
      <c r="K131" s="141"/>
    </row>
    <row r="132" spans="1:11" ht="21" customHeight="1" x14ac:dyDescent="0.25">
      <c r="A132" s="85"/>
      <c r="B132" s="93"/>
      <c r="C132" s="70" t="s">
        <v>134</v>
      </c>
      <c r="D132" s="218" t="s">
        <v>103</v>
      </c>
      <c r="E132" s="124"/>
      <c r="F132" s="141">
        <v>2344903</v>
      </c>
      <c r="G132" s="25"/>
      <c r="H132" s="45"/>
      <c r="I132" s="155"/>
      <c r="J132" s="141"/>
      <c r="K132" s="141"/>
    </row>
    <row r="133" spans="1:11" ht="21" customHeight="1" x14ac:dyDescent="0.25">
      <c r="A133" s="85"/>
      <c r="B133" s="93"/>
      <c r="C133" s="70" t="s">
        <v>138</v>
      </c>
      <c r="D133" s="218" t="s">
        <v>139</v>
      </c>
      <c r="E133" s="124"/>
      <c r="F133" s="141">
        <v>12800000</v>
      </c>
      <c r="G133" s="25"/>
      <c r="H133" s="45"/>
      <c r="I133" s="155"/>
      <c r="J133" s="141"/>
      <c r="K133" s="141"/>
    </row>
    <row r="134" spans="1:11" ht="21" customHeight="1" x14ac:dyDescent="0.25">
      <c r="A134" s="85"/>
      <c r="B134" s="93"/>
      <c r="C134" s="70" t="s">
        <v>142</v>
      </c>
      <c r="D134" s="218" t="s">
        <v>102</v>
      </c>
      <c r="E134" s="124">
        <v>560</v>
      </c>
      <c r="F134" s="141">
        <v>946400</v>
      </c>
      <c r="G134" s="25"/>
      <c r="H134" s="45"/>
      <c r="I134" s="155"/>
      <c r="J134" s="141"/>
      <c r="K134" s="141"/>
    </row>
    <row r="135" spans="1:11" ht="21" customHeight="1" x14ac:dyDescent="0.25">
      <c r="A135" s="85"/>
      <c r="B135" s="93"/>
      <c r="C135" s="70" t="s">
        <v>145</v>
      </c>
      <c r="D135" s="218" t="s">
        <v>103</v>
      </c>
      <c r="E135" s="124"/>
      <c r="F135" s="141">
        <v>1537855</v>
      </c>
      <c r="G135" s="25"/>
      <c r="H135" s="45"/>
      <c r="I135" s="155"/>
      <c r="J135" s="141"/>
      <c r="K135" s="141"/>
    </row>
    <row r="136" spans="1:11" ht="21" customHeight="1" x14ac:dyDescent="0.25">
      <c r="A136" s="85"/>
      <c r="B136" s="93"/>
      <c r="C136" s="70" t="s">
        <v>151</v>
      </c>
      <c r="D136" s="218" t="s">
        <v>103</v>
      </c>
      <c r="E136" s="124"/>
      <c r="F136" s="141">
        <v>2727397</v>
      </c>
      <c r="G136" s="25"/>
      <c r="H136" s="45"/>
      <c r="I136" s="155"/>
      <c r="J136" s="141"/>
      <c r="K136" s="141"/>
    </row>
    <row r="137" spans="1:11" ht="21" customHeight="1" x14ac:dyDescent="0.25">
      <c r="A137" s="85"/>
      <c r="B137" s="93"/>
      <c r="C137" s="70" t="s">
        <v>162</v>
      </c>
      <c r="D137" s="218" t="s">
        <v>103</v>
      </c>
      <c r="E137" s="124"/>
      <c r="F137" s="141">
        <v>353400</v>
      </c>
      <c r="G137" s="25"/>
      <c r="H137" s="45"/>
      <c r="I137" s="155"/>
      <c r="J137" s="141"/>
      <c r="K137" s="141"/>
    </row>
    <row r="138" spans="1:11" ht="21" customHeight="1" x14ac:dyDescent="0.25">
      <c r="A138" s="85"/>
      <c r="B138" s="93"/>
      <c r="C138" s="70" t="s">
        <v>170</v>
      </c>
      <c r="D138" s="218" t="s">
        <v>63</v>
      </c>
      <c r="E138" s="124">
        <v>15</v>
      </c>
      <c r="F138" s="141">
        <v>270600</v>
      </c>
      <c r="G138" s="25"/>
      <c r="H138" s="45"/>
      <c r="I138" s="155"/>
      <c r="J138" s="141"/>
      <c r="K138" s="141"/>
    </row>
    <row r="139" spans="1:11" ht="21" customHeight="1" x14ac:dyDescent="0.25">
      <c r="A139" s="85"/>
      <c r="B139" s="93"/>
      <c r="C139" s="70" t="s">
        <v>138</v>
      </c>
      <c r="D139" s="218" t="s">
        <v>139</v>
      </c>
      <c r="E139" s="124">
        <v>32</v>
      </c>
      <c r="F139" s="141">
        <f>1280000+1920000</f>
        <v>3200000</v>
      </c>
      <c r="G139" s="25"/>
      <c r="H139" s="45"/>
      <c r="I139" s="155"/>
      <c r="J139" s="141"/>
      <c r="K139" s="141"/>
    </row>
    <row r="140" spans="1:11" ht="44.25" customHeight="1" x14ac:dyDescent="0.25">
      <c r="A140" s="85"/>
      <c r="B140" s="93"/>
      <c r="C140" s="308" t="s">
        <v>203</v>
      </c>
      <c r="D140" s="218" t="s">
        <v>64</v>
      </c>
      <c r="E140" s="124"/>
      <c r="F140" s="141">
        <v>126221333</v>
      </c>
      <c r="G140" s="25"/>
      <c r="H140" s="45"/>
      <c r="I140" s="155"/>
      <c r="J140" s="141"/>
      <c r="K140" s="141"/>
    </row>
    <row r="141" spans="1:11" ht="44.25" customHeight="1" x14ac:dyDescent="0.25">
      <c r="A141" s="85"/>
      <c r="B141" s="93"/>
      <c r="C141" s="308" t="s">
        <v>205</v>
      </c>
      <c r="D141" s="218" t="s">
        <v>64</v>
      </c>
      <c r="E141" s="124"/>
      <c r="F141" s="141">
        <v>117563887</v>
      </c>
      <c r="G141" s="25"/>
      <c r="H141" s="45"/>
      <c r="I141" s="155"/>
      <c r="J141" s="141"/>
      <c r="K141" s="141"/>
    </row>
    <row r="142" spans="1:11" ht="47.25" customHeight="1" x14ac:dyDescent="0.25">
      <c r="A142" s="85"/>
      <c r="B142" s="93"/>
      <c r="C142" s="308" t="s">
        <v>206</v>
      </c>
      <c r="D142" s="218" t="s">
        <v>64</v>
      </c>
      <c r="E142" s="124"/>
      <c r="F142" s="141">
        <v>125970641</v>
      </c>
      <c r="G142" s="25"/>
      <c r="H142" s="45"/>
      <c r="I142" s="155"/>
      <c r="J142" s="141"/>
      <c r="K142" s="141"/>
    </row>
    <row r="143" spans="1:11" ht="54.75" customHeight="1" x14ac:dyDescent="0.25">
      <c r="A143" s="85"/>
      <c r="B143" s="93"/>
      <c r="C143" s="308"/>
      <c r="D143" s="222"/>
      <c r="E143" s="137" t="s">
        <v>112</v>
      </c>
      <c r="F143" s="146">
        <f>+SUM(F127:F142)</f>
        <v>731356921.5</v>
      </c>
      <c r="G143" s="40"/>
      <c r="H143" s="45"/>
      <c r="I143" s="156">
        <v>1</v>
      </c>
      <c r="J143" s="146">
        <v>1143727074</v>
      </c>
      <c r="K143" s="176">
        <f>+J143-F143</f>
        <v>412370152.5</v>
      </c>
    </row>
    <row r="144" spans="1:11" ht="21" customHeight="1" x14ac:dyDescent="0.25">
      <c r="A144" s="85"/>
      <c r="B144" s="96">
        <v>2.02</v>
      </c>
      <c r="C144" s="68" t="s">
        <v>121</v>
      </c>
      <c r="D144" s="214"/>
      <c r="E144" s="68"/>
      <c r="F144" s="191"/>
      <c r="G144" s="11"/>
      <c r="H144" s="37"/>
      <c r="I144" s="68"/>
      <c r="J144" s="191"/>
      <c r="K144" s="68"/>
    </row>
    <row r="145" spans="1:11" ht="21" customHeight="1" x14ac:dyDescent="0.25">
      <c r="A145" s="85"/>
      <c r="B145" s="93"/>
      <c r="C145" s="246" t="s">
        <v>49</v>
      </c>
      <c r="D145" s="224" t="s">
        <v>64</v>
      </c>
      <c r="E145" s="138"/>
      <c r="F145" s="148">
        <v>8761480</v>
      </c>
      <c r="G145" s="41"/>
      <c r="H145" s="45"/>
      <c r="I145" s="138">
        <v>1</v>
      </c>
      <c r="J145" s="148"/>
      <c r="K145" s="141"/>
    </row>
    <row r="146" spans="1:11" ht="21" customHeight="1" x14ac:dyDescent="0.25">
      <c r="A146" s="85"/>
      <c r="B146" s="93"/>
      <c r="C146" s="246" t="s">
        <v>149</v>
      </c>
      <c r="D146" s="224" t="s">
        <v>150</v>
      </c>
      <c r="E146" s="138">
        <v>50</v>
      </c>
      <c r="F146" s="148">
        <v>182990</v>
      </c>
      <c r="G146" s="41"/>
      <c r="H146" s="45"/>
      <c r="I146" s="138"/>
      <c r="J146" s="148"/>
      <c r="K146" s="141"/>
    </row>
    <row r="147" spans="1:11" ht="21" customHeight="1" x14ac:dyDescent="0.25">
      <c r="A147" s="85"/>
      <c r="B147" s="93"/>
      <c r="C147" s="246" t="s">
        <v>138</v>
      </c>
      <c r="D147" s="224" t="s">
        <v>166</v>
      </c>
      <c r="E147" s="138"/>
      <c r="F147" s="148">
        <v>1600000</v>
      </c>
      <c r="G147" s="41"/>
      <c r="H147" s="45"/>
      <c r="I147" s="138"/>
      <c r="J147" s="148"/>
      <c r="K147" s="141"/>
    </row>
    <row r="148" spans="1:11" ht="21" customHeight="1" x14ac:dyDescent="0.25">
      <c r="A148" s="85"/>
      <c r="B148" s="93"/>
      <c r="C148" s="246" t="s">
        <v>149</v>
      </c>
      <c r="D148" s="224" t="s">
        <v>169</v>
      </c>
      <c r="E148" s="138">
        <v>2</v>
      </c>
      <c r="F148" s="148">
        <v>311946</v>
      </c>
      <c r="G148" s="41"/>
      <c r="H148" s="45"/>
      <c r="I148" s="138"/>
      <c r="J148" s="148"/>
      <c r="K148" s="141"/>
    </row>
    <row r="149" spans="1:11" x14ac:dyDescent="0.25">
      <c r="A149" s="85"/>
      <c r="B149" s="93"/>
      <c r="C149" s="246" t="s">
        <v>52</v>
      </c>
      <c r="D149" s="224" t="s">
        <v>64</v>
      </c>
      <c r="E149" s="138"/>
      <c r="F149" s="148">
        <v>30452400</v>
      </c>
      <c r="G149" s="29"/>
      <c r="H149" s="290"/>
      <c r="I149" s="158" t="s">
        <v>104</v>
      </c>
      <c r="J149" s="199"/>
      <c r="K149" s="158"/>
    </row>
    <row r="150" spans="1:11" ht="21" customHeight="1" x14ac:dyDescent="0.25">
      <c r="A150" s="85"/>
      <c r="B150" s="93"/>
      <c r="C150" s="246" t="s">
        <v>51</v>
      </c>
      <c r="D150" s="224" t="s">
        <v>103</v>
      </c>
      <c r="E150" s="138"/>
      <c r="F150" s="148">
        <v>42862000</v>
      </c>
      <c r="G150" s="29"/>
      <c r="H150" s="290"/>
      <c r="I150" s="128"/>
      <c r="J150" s="141"/>
      <c r="K150" s="141"/>
    </row>
    <row r="151" spans="1:11" ht="42.75" customHeight="1" x14ac:dyDescent="0.25">
      <c r="A151" s="85"/>
      <c r="B151" s="93"/>
      <c r="C151" s="246" t="s">
        <v>232</v>
      </c>
      <c r="D151" s="224" t="s">
        <v>103</v>
      </c>
      <c r="E151" s="138"/>
      <c r="F151" s="148">
        <v>207600</v>
      </c>
      <c r="G151" s="29"/>
      <c r="H151" s="290"/>
      <c r="I151" s="128"/>
      <c r="J151" s="141"/>
      <c r="K151" s="141"/>
    </row>
    <row r="152" spans="1:11" ht="42.75" customHeight="1" x14ac:dyDescent="0.25">
      <c r="A152" s="85"/>
      <c r="B152" s="93"/>
      <c r="C152" s="246" t="s">
        <v>233</v>
      </c>
      <c r="D152" s="224" t="s">
        <v>103</v>
      </c>
      <c r="E152" s="138"/>
      <c r="F152" s="148">
        <v>52548</v>
      </c>
      <c r="G152" s="29"/>
      <c r="H152" s="290"/>
      <c r="I152" s="128"/>
      <c r="J152" s="141"/>
      <c r="K152" s="141"/>
    </row>
    <row r="153" spans="1:11" ht="42.75" customHeight="1" x14ac:dyDescent="0.25">
      <c r="A153" s="85"/>
      <c r="B153" s="93"/>
      <c r="C153" s="246" t="s">
        <v>234</v>
      </c>
      <c r="D153" s="224" t="s">
        <v>164</v>
      </c>
      <c r="E153" s="138"/>
      <c r="F153" s="148">
        <v>270828</v>
      </c>
      <c r="G153" s="29"/>
      <c r="H153" s="290"/>
      <c r="I153" s="128"/>
      <c r="J153" s="141"/>
      <c r="K153" s="141"/>
    </row>
    <row r="154" spans="1:11" x14ac:dyDescent="0.25">
      <c r="A154" s="85"/>
      <c r="B154" s="93"/>
      <c r="C154" s="241"/>
      <c r="D154" s="222"/>
      <c r="E154" s="137" t="s">
        <v>112</v>
      </c>
      <c r="F154" s="146">
        <f>+SUM(F145:F152)</f>
        <v>84430964</v>
      </c>
      <c r="G154" s="40"/>
      <c r="H154" s="45"/>
      <c r="I154" s="156">
        <v>1</v>
      </c>
      <c r="J154" s="146">
        <v>57010000</v>
      </c>
      <c r="K154" s="176">
        <f>+J154-F154</f>
        <v>-27420964</v>
      </c>
    </row>
    <row r="155" spans="1:11" ht="21" x14ac:dyDescent="0.25">
      <c r="A155" s="85"/>
      <c r="B155" s="96">
        <v>2.0299999999999998</v>
      </c>
      <c r="C155" s="68" t="s">
        <v>178</v>
      </c>
      <c r="D155" s="214"/>
      <c r="E155" s="68"/>
      <c r="F155" s="191"/>
      <c r="G155" s="11"/>
      <c r="H155" s="37"/>
      <c r="I155" s="68"/>
      <c r="J155" s="191"/>
      <c r="K155" s="68"/>
    </row>
    <row r="156" spans="1:11" ht="42" customHeight="1" x14ac:dyDescent="0.25">
      <c r="A156" s="85"/>
      <c r="B156" s="93"/>
      <c r="C156" s="73" t="s">
        <v>25</v>
      </c>
      <c r="D156" s="216" t="s">
        <v>64</v>
      </c>
      <c r="E156" s="128"/>
      <c r="F156" s="140">
        <v>2754211.95</v>
      </c>
      <c r="G156" s="29"/>
      <c r="H156" s="45"/>
      <c r="I156" s="128"/>
      <c r="J156" s="141"/>
      <c r="K156" s="141"/>
    </row>
    <row r="157" spans="1:11" ht="63" x14ac:dyDescent="0.25">
      <c r="A157" s="85"/>
      <c r="B157" s="93"/>
      <c r="C157" s="73" t="s">
        <v>25</v>
      </c>
      <c r="D157" s="216"/>
      <c r="E157" s="128"/>
      <c r="F157" s="141">
        <v>2754211.95</v>
      </c>
      <c r="G157" s="29"/>
      <c r="H157" s="45"/>
      <c r="I157" s="128"/>
      <c r="J157" s="141"/>
      <c r="K157" s="141"/>
    </row>
    <row r="158" spans="1:11" ht="18.75" customHeight="1" x14ac:dyDescent="0.25">
      <c r="A158" s="85"/>
      <c r="B158" s="93"/>
      <c r="C158" s="81" t="s">
        <v>25</v>
      </c>
      <c r="D158" s="216"/>
      <c r="E158" s="128"/>
      <c r="F158" s="141">
        <v>2754211.95</v>
      </c>
      <c r="G158" s="29"/>
      <c r="H158" s="45"/>
      <c r="I158" s="128"/>
      <c r="J158" s="141"/>
      <c r="K158" s="141"/>
    </row>
    <row r="159" spans="1:11" x14ac:dyDescent="0.25">
      <c r="A159" s="86"/>
      <c r="B159" s="101"/>
      <c r="C159" s="76"/>
      <c r="D159" s="228"/>
      <c r="E159" s="139" t="s">
        <v>112</v>
      </c>
      <c r="F159" s="150">
        <f>SUM(F156:F158)</f>
        <v>8262635.8500000006</v>
      </c>
      <c r="G159" s="38"/>
      <c r="H159" s="288"/>
      <c r="I159" s="159">
        <v>1</v>
      </c>
      <c r="J159" s="150">
        <v>8262636</v>
      </c>
      <c r="K159" s="176">
        <f>+J159-F159</f>
        <v>0.14999999944120646</v>
      </c>
    </row>
    <row r="160" spans="1:11" ht="52.5" customHeight="1" thickBot="1" x14ac:dyDescent="0.3">
      <c r="A160" s="87"/>
      <c r="B160" s="87"/>
      <c r="C160" s="236" t="s">
        <v>156</v>
      </c>
      <c r="D160" s="207"/>
      <c r="E160" s="123"/>
      <c r="F160" s="149">
        <f>+SUM(F143+F154+F159)</f>
        <v>824050521.35000002</v>
      </c>
      <c r="G160" s="50"/>
      <c r="H160" s="288"/>
      <c r="I160" s="154"/>
      <c r="J160" s="149">
        <v>1200737074</v>
      </c>
      <c r="K160" s="149">
        <f>+J160-F160</f>
        <v>376686552.64999998</v>
      </c>
    </row>
    <row r="161" spans="1:11" ht="53.25" thickBot="1" x14ac:dyDescent="0.3">
      <c r="A161" s="115">
        <v>2.1</v>
      </c>
      <c r="B161" s="102"/>
      <c r="C161" s="249" t="s">
        <v>53</v>
      </c>
      <c r="D161" s="229"/>
      <c r="E161" s="77"/>
      <c r="F161" s="194"/>
      <c r="G161" s="52"/>
      <c r="H161" s="53"/>
      <c r="I161" s="77"/>
      <c r="J161" s="194"/>
      <c r="K161" s="180"/>
    </row>
    <row r="162" spans="1:11" ht="21" x14ac:dyDescent="0.25">
      <c r="A162" s="85"/>
      <c r="B162" s="96">
        <v>2.11</v>
      </c>
      <c r="C162" s="68" t="s">
        <v>136</v>
      </c>
      <c r="D162" s="214"/>
      <c r="E162" s="68"/>
      <c r="F162" s="191"/>
      <c r="G162" s="11"/>
      <c r="H162" s="37"/>
      <c r="I162" s="68"/>
      <c r="J162" s="191"/>
      <c r="K162" s="68"/>
    </row>
    <row r="163" spans="1:11" ht="21" customHeight="1" x14ac:dyDescent="0.25">
      <c r="A163" s="84"/>
      <c r="B163" s="103"/>
      <c r="C163" s="78" t="s">
        <v>54</v>
      </c>
      <c r="D163" s="230" t="s">
        <v>62</v>
      </c>
      <c r="E163" s="78"/>
      <c r="F163" s="140">
        <v>24472281.039999999</v>
      </c>
      <c r="G163" s="43"/>
      <c r="H163" s="295"/>
      <c r="I163" s="160">
        <v>102</v>
      </c>
      <c r="J163" s="200"/>
      <c r="K163" s="181"/>
    </row>
    <row r="164" spans="1:11" ht="21" customHeight="1" x14ac:dyDescent="0.25">
      <c r="A164" s="116"/>
      <c r="B164" s="104"/>
      <c r="C164" s="81" t="s">
        <v>98</v>
      </c>
      <c r="D164" s="218" t="s">
        <v>64</v>
      </c>
      <c r="E164" s="128"/>
      <c r="F164" s="141">
        <v>325000</v>
      </c>
      <c r="G164" s="29"/>
      <c r="H164" s="45"/>
      <c r="I164" s="136">
        <v>1</v>
      </c>
      <c r="J164" s="141"/>
      <c r="K164" s="141"/>
    </row>
    <row r="165" spans="1:11" ht="21" customHeight="1" x14ac:dyDescent="0.25">
      <c r="A165" s="116"/>
      <c r="B165" s="104"/>
      <c r="C165" s="240" t="s">
        <v>221</v>
      </c>
      <c r="D165" s="215" t="s">
        <v>102</v>
      </c>
      <c r="E165" s="129"/>
      <c r="F165" s="145">
        <v>2185000</v>
      </c>
      <c r="G165" s="318"/>
      <c r="H165" s="288"/>
      <c r="I165" s="319"/>
      <c r="J165" s="142"/>
      <c r="K165" s="141"/>
    </row>
    <row r="166" spans="1:11" ht="21" customHeight="1" x14ac:dyDescent="0.25">
      <c r="A166" s="86"/>
      <c r="B166" s="86"/>
      <c r="C166" s="250"/>
      <c r="D166" s="202"/>
      <c r="E166" s="139" t="s">
        <v>112</v>
      </c>
      <c r="F166" s="150">
        <f>+SUM(F163:F165)</f>
        <v>26982281.039999999</v>
      </c>
      <c r="G166" s="38"/>
      <c r="H166" s="288"/>
      <c r="I166" s="161">
        <v>102</v>
      </c>
      <c r="J166" s="150">
        <v>20910000</v>
      </c>
      <c r="K166" s="182">
        <f>+F166-J166</f>
        <v>6072281.0399999991</v>
      </c>
    </row>
    <row r="167" spans="1:11" ht="21" customHeight="1" x14ac:dyDescent="0.25">
      <c r="A167" s="86"/>
      <c r="B167" s="96">
        <v>2.12</v>
      </c>
      <c r="C167" s="68" t="s">
        <v>220</v>
      </c>
      <c r="D167" s="214"/>
      <c r="E167" s="68"/>
      <c r="F167" s="191"/>
      <c r="G167" s="11"/>
      <c r="H167" s="37"/>
      <c r="I167" s="68"/>
      <c r="J167" s="191"/>
      <c r="K167" s="68"/>
    </row>
    <row r="168" spans="1:11" ht="47.25" customHeight="1" x14ac:dyDescent="0.25">
      <c r="A168" s="86"/>
      <c r="B168" s="78"/>
      <c r="C168" s="251" t="s">
        <v>189</v>
      </c>
      <c r="D168" s="78" t="s">
        <v>183</v>
      </c>
      <c r="E168" s="140"/>
      <c r="F168" s="140">
        <v>7162320</v>
      </c>
      <c r="G168" s="43"/>
      <c r="H168" s="296"/>
      <c r="I168" s="200"/>
      <c r="J168" s="181"/>
      <c r="K168" s="181"/>
    </row>
    <row r="169" spans="1:11" ht="39" customHeight="1" x14ac:dyDescent="0.25">
      <c r="A169" s="86"/>
      <c r="B169" s="78"/>
      <c r="C169" s="251"/>
      <c r="D169" s="78"/>
      <c r="E169" s="139" t="s">
        <v>112</v>
      </c>
      <c r="F169" s="150">
        <f>+SUM(F168)</f>
        <v>7162320</v>
      </c>
      <c r="G169" s="38"/>
      <c r="H169" s="288"/>
      <c r="I169" s="161"/>
      <c r="J169" s="150"/>
      <c r="K169" s="182"/>
    </row>
    <row r="170" spans="1:11" ht="39" customHeight="1" x14ac:dyDescent="0.25">
      <c r="A170" s="86"/>
      <c r="B170" s="96">
        <v>2.16</v>
      </c>
      <c r="C170" s="68" t="s">
        <v>137</v>
      </c>
      <c r="D170" s="214"/>
      <c r="E170" s="68"/>
      <c r="F170" s="191"/>
      <c r="G170" s="11"/>
      <c r="H170" s="37"/>
      <c r="I170" s="68"/>
      <c r="J170" s="191"/>
      <c r="K170" s="68"/>
    </row>
    <row r="171" spans="1:11" ht="39" customHeight="1" x14ac:dyDescent="0.25">
      <c r="A171" s="113"/>
      <c r="B171" s="277"/>
      <c r="C171" s="81" t="s">
        <v>192</v>
      </c>
      <c r="D171" s="279"/>
      <c r="E171" s="278"/>
      <c r="F171" s="79">
        <v>2954082</v>
      </c>
      <c r="G171" s="275"/>
      <c r="H171" s="37"/>
      <c r="I171" s="278"/>
      <c r="J171" s="280"/>
      <c r="K171" s="278"/>
    </row>
    <row r="172" spans="1:11" ht="39" customHeight="1" x14ac:dyDescent="0.25">
      <c r="A172" s="113"/>
      <c r="B172" s="277"/>
      <c r="C172" s="251" t="s">
        <v>196</v>
      </c>
      <c r="D172" s="279"/>
      <c r="E172" s="282"/>
      <c r="F172" s="79">
        <v>2324421</v>
      </c>
      <c r="G172" s="276"/>
      <c r="H172" s="258"/>
      <c r="I172" s="282"/>
      <c r="J172" s="284"/>
      <c r="K172" s="278"/>
    </row>
    <row r="173" spans="1:11" ht="22.5" customHeight="1" x14ac:dyDescent="0.25">
      <c r="A173" s="86"/>
      <c r="B173" s="78"/>
      <c r="C173" s="251"/>
      <c r="D173" s="78"/>
      <c r="E173" s="139" t="s">
        <v>112</v>
      </c>
      <c r="F173" s="150">
        <f>+SUM(F171)</f>
        <v>2954082</v>
      </c>
      <c r="G173" s="38"/>
      <c r="H173" s="288"/>
      <c r="I173" s="161"/>
      <c r="J173" s="150"/>
      <c r="K173" s="182"/>
    </row>
    <row r="174" spans="1:11" ht="21" customHeight="1" x14ac:dyDescent="0.25">
      <c r="A174" s="85"/>
      <c r="B174" s="96">
        <v>2.17</v>
      </c>
      <c r="C174" s="68" t="s">
        <v>191</v>
      </c>
      <c r="D174" s="214"/>
      <c r="E174" s="68"/>
      <c r="F174" s="191"/>
      <c r="G174" s="11"/>
      <c r="H174" s="37"/>
      <c r="I174" s="68"/>
      <c r="J174" s="191"/>
      <c r="K174" s="68"/>
    </row>
    <row r="175" spans="1:11" ht="21" customHeight="1" x14ac:dyDescent="0.25">
      <c r="A175" s="84"/>
      <c r="B175" s="269"/>
      <c r="C175" s="270" t="s">
        <v>224</v>
      </c>
      <c r="D175" s="271"/>
      <c r="E175" s="270"/>
      <c r="F175" s="140">
        <v>10890000</v>
      </c>
      <c r="G175" s="272"/>
      <c r="H175" s="297"/>
      <c r="I175" s="273"/>
      <c r="J175" s="200"/>
      <c r="K175" s="274"/>
    </row>
    <row r="176" spans="1:11" ht="21" customHeight="1" x14ac:dyDescent="0.25">
      <c r="A176" s="86"/>
      <c r="B176" s="86"/>
      <c r="C176" s="250" t="s">
        <v>152</v>
      </c>
      <c r="D176" s="202"/>
      <c r="E176" s="79"/>
      <c r="F176" s="79">
        <v>1057380</v>
      </c>
      <c r="G176" s="44"/>
      <c r="H176" s="298"/>
      <c r="I176" s="79"/>
      <c r="J176" s="79"/>
      <c r="K176" s="79"/>
    </row>
    <row r="177" spans="1:11" ht="21" customHeight="1" x14ac:dyDescent="0.25">
      <c r="A177" s="86"/>
      <c r="B177" s="86"/>
      <c r="C177" s="250" t="s">
        <v>153</v>
      </c>
      <c r="D177" s="202"/>
      <c r="E177" s="79"/>
      <c r="F177" s="79">
        <v>450800</v>
      </c>
      <c r="G177" s="44"/>
      <c r="H177" s="298"/>
      <c r="I177" s="79"/>
      <c r="J177" s="79"/>
      <c r="K177" s="79"/>
    </row>
    <row r="178" spans="1:11" ht="21" customHeight="1" x14ac:dyDescent="0.25">
      <c r="A178" s="86"/>
      <c r="B178" s="86"/>
      <c r="C178" s="250" t="s">
        <v>171</v>
      </c>
      <c r="D178" s="202" t="s">
        <v>103</v>
      </c>
      <c r="E178" s="79"/>
      <c r="F178" s="79">
        <v>65000</v>
      </c>
      <c r="G178" s="44"/>
      <c r="H178" s="298"/>
      <c r="I178" s="79"/>
      <c r="J178" s="79"/>
      <c r="K178" s="79"/>
    </row>
    <row r="179" spans="1:11" ht="21" customHeight="1" x14ac:dyDescent="0.25">
      <c r="A179" s="86"/>
      <c r="B179" s="86"/>
      <c r="C179" s="81" t="s">
        <v>186</v>
      </c>
      <c r="D179" s="202"/>
      <c r="E179" s="79"/>
      <c r="F179" s="79">
        <v>5568230</v>
      </c>
      <c r="G179" s="44"/>
      <c r="H179" s="298"/>
      <c r="I179" s="79"/>
      <c r="J179" s="79"/>
      <c r="K179" s="79"/>
    </row>
    <row r="180" spans="1:11" ht="42" x14ac:dyDescent="0.25">
      <c r="A180" s="86"/>
      <c r="B180" s="86"/>
      <c r="C180" s="251" t="s">
        <v>185</v>
      </c>
      <c r="D180" s="202"/>
      <c r="E180" s="79"/>
      <c r="F180" s="79">
        <v>1654588</v>
      </c>
      <c r="G180" s="44"/>
      <c r="H180" s="298"/>
      <c r="I180" s="79"/>
      <c r="J180" s="79"/>
      <c r="K180" s="79"/>
    </row>
    <row r="181" spans="1:11" ht="40.5" customHeight="1" x14ac:dyDescent="0.25">
      <c r="A181" s="86"/>
      <c r="B181" s="86"/>
      <c r="C181" s="251" t="s">
        <v>188</v>
      </c>
      <c r="D181" s="202"/>
      <c r="E181" s="79"/>
      <c r="F181" s="79">
        <v>4774880</v>
      </c>
      <c r="G181" s="44"/>
      <c r="H181" s="298"/>
      <c r="I181" s="79"/>
      <c r="J181" s="79"/>
      <c r="K181" s="79"/>
    </row>
    <row r="182" spans="1:11" ht="40.5" customHeight="1" x14ac:dyDescent="0.25">
      <c r="A182" s="86"/>
      <c r="B182" s="86"/>
      <c r="C182" s="81" t="s">
        <v>193</v>
      </c>
      <c r="D182" s="202"/>
      <c r="E182" s="79"/>
      <c r="F182" s="79">
        <v>4344239</v>
      </c>
      <c r="G182" s="44"/>
      <c r="H182" s="298"/>
      <c r="I182" s="79"/>
      <c r="J182" s="79"/>
      <c r="K182" s="79"/>
    </row>
    <row r="183" spans="1:11" ht="40.5" customHeight="1" x14ac:dyDescent="0.25">
      <c r="A183" s="86"/>
      <c r="B183" s="86"/>
      <c r="C183" s="251" t="s">
        <v>196</v>
      </c>
      <c r="D183" s="202"/>
      <c r="E183" s="79"/>
      <c r="F183" s="79">
        <v>2324421</v>
      </c>
      <c r="G183" s="44"/>
      <c r="H183" s="298"/>
      <c r="I183" s="79"/>
      <c r="J183" s="79"/>
      <c r="K183" s="79"/>
    </row>
    <row r="184" spans="1:11" ht="21" customHeight="1" x14ac:dyDescent="0.25">
      <c r="A184" s="86"/>
      <c r="B184" s="86"/>
      <c r="C184" s="250"/>
      <c r="D184" s="202"/>
      <c r="E184" s="139" t="s">
        <v>112</v>
      </c>
      <c r="F184" s="150">
        <f>+SUM(F175:F183)</f>
        <v>31129538</v>
      </c>
      <c r="G184" s="38"/>
      <c r="H184" s="288"/>
      <c r="I184" s="161"/>
      <c r="J184" s="150">
        <v>5493267</v>
      </c>
      <c r="K184" s="179">
        <f>+J184-F184</f>
        <v>-25636271</v>
      </c>
    </row>
    <row r="185" spans="1:11" ht="42.75" thickBot="1" x14ac:dyDescent="0.3">
      <c r="A185" s="87"/>
      <c r="B185" s="87"/>
      <c r="C185" s="236" t="s">
        <v>157</v>
      </c>
      <c r="D185" s="207"/>
      <c r="E185" s="123"/>
      <c r="F185" s="149">
        <f>+F166+F169+F173+F184</f>
        <v>68228221.039999992</v>
      </c>
      <c r="G185" s="50"/>
      <c r="H185" s="288"/>
      <c r="I185" s="154"/>
      <c r="J185" s="149">
        <v>106342579</v>
      </c>
      <c r="K185" s="149">
        <f>+J185-F185</f>
        <v>38114357.960000008</v>
      </c>
    </row>
    <row r="186" spans="1:11" ht="34.5" thickBot="1" x14ac:dyDescent="0.3">
      <c r="A186" s="117">
        <v>4</v>
      </c>
      <c r="B186" s="105"/>
      <c r="C186" s="252" t="s">
        <v>97</v>
      </c>
      <c r="D186" s="231"/>
      <c r="E186" s="80"/>
      <c r="F186" s="80"/>
      <c r="G186" s="54"/>
      <c r="H186" s="53"/>
      <c r="I186" s="80"/>
      <c r="J186" s="80"/>
      <c r="K186" s="183"/>
    </row>
    <row r="187" spans="1:11" ht="21" x14ac:dyDescent="0.25">
      <c r="A187" s="86"/>
      <c r="B187" s="96">
        <v>4.01</v>
      </c>
      <c r="C187" s="68" t="s">
        <v>200</v>
      </c>
      <c r="D187" s="214"/>
      <c r="E187" s="68"/>
      <c r="F187" s="191"/>
      <c r="G187" s="11"/>
      <c r="H187" s="37"/>
      <c r="I187" s="68"/>
      <c r="J187" s="191"/>
      <c r="K187" s="68"/>
    </row>
    <row r="188" spans="1:11" s="307" customFormat="1" ht="21" x14ac:dyDescent="0.25">
      <c r="A188" s="113"/>
      <c r="B188" s="277"/>
      <c r="C188" s="251" t="s">
        <v>201</v>
      </c>
      <c r="D188" s="202"/>
      <c r="E188" s="79"/>
      <c r="F188" s="79">
        <v>217659</v>
      </c>
      <c r="G188" s="275"/>
      <c r="H188" s="275"/>
      <c r="I188" s="278"/>
      <c r="J188" s="280"/>
      <c r="K188" s="278"/>
    </row>
    <row r="189" spans="1:11" s="307" customFormat="1" ht="21" x14ac:dyDescent="0.25">
      <c r="A189" s="113"/>
      <c r="B189" s="277"/>
      <c r="C189" s="81" t="s">
        <v>214</v>
      </c>
      <c r="D189" s="202"/>
      <c r="E189" s="79"/>
      <c r="F189" s="79">
        <v>11344500</v>
      </c>
      <c r="G189" s="276"/>
      <c r="H189" s="276"/>
      <c r="I189" s="282"/>
      <c r="J189" s="284"/>
      <c r="K189" s="282"/>
    </row>
    <row r="190" spans="1:11" s="307" customFormat="1" ht="21" x14ac:dyDescent="0.25">
      <c r="A190" s="113"/>
      <c r="B190" s="277"/>
      <c r="C190" s="81" t="s">
        <v>214</v>
      </c>
      <c r="D190" s="202"/>
      <c r="E190" s="79"/>
      <c r="F190" s="79">
        <v>47440032</v>
      </c>
      <c r="G190" s="276"/>
      <c r="H190" s="276"/>
      <c r="I190" s="282"/>
      <c r="J190" s="284"/>
      <c r="K190" s="282"/>
    </row>
    <row r="191" spans="1:11" s="307" customFormat="1" x14ac:dyDescent="0.25">
      <c r="A191" s="113"/>
      <c r="B191" s="277"/>
      <c r="C191" s="81"/>
      <c r="D191" s="260"/>
      <c r="E191" s="137" t="s">
        <v>112</v>
      </c>
      <c r="F191" s="146">
        <f>11562159+F188</f>
        <v>11779818</v>
      </c>
      <c r="G191" s="38"/>
      <c r="H191" s="288"/>
      <c r="I191" s="184"/>
      <c r="J191" s="150">
        <v>146026768</v>
      </c>
      <c r="K191" s="184"/>
    </row>
    <row r="192" spans="1:11" ht="42" x14ac:dyDescent="0.25">
      <c r="A192" s="85"/>
      <c r="B192" s="96">
        <v>4.0199999999999996</v>
      </c>
      <c r="C192" s="68" t="s">
        <v>146</v>
      </c>
      <c r="D192" s="214"/>
      <c r="E192" s="68"/>
      <c r="F192" s="191"/>
      <c r="G192" s="11"/>
      <c r="H192" s="37"/>
      <c r="I192" s="68"/>
      <c r="J192" s="191"/>
      <c r="K192" s="68"/>
    </row>
    <row r="193" spans="1:11" ht="18.75" customHeight="1" x14ac:dyDescent="0.25">
      <c r="A193" s="84"/>
      <c r="B193" s="106"/>
      <c r="C193" s="251" t="s">
        <v>96</v>
      </c>
      <c r="D193" s="232" t="s">
        <v>62</v>
      </c>
      <c r="E193" s="82"/>
      <c r="F193" s="140">
        <v>41660642</v>
      </c>
      <c r="G193" s="21"/>
      <c r="H193" s="287"/>
      <c r="I193" s="163">
        <v>650</v>
      </c>
      <c r="J193" s="140"/>
      <c r="K193" s="144"/>
    </row>
    <row r="194" spans="1:11" ht="18.75" customHeight="1" x14ac:dyDescent="0.25">
      <c r="A194" s="85"/>
      <c r="B194" s="259"/>
      <c r="C194" s="81" t="s">
        <v>174</v>
      </c>
      <c r="D194" s="260" t="s">
        <v>175</v>
      </c>
      <c r="E194" s="241"/>
      <c r="F194" s="141">
        <v>4800000</v>
      </c>
      <c r="G194" s="261"/>
      <c r="H194" s="45"/>
      <c r="I194" s="152"/>
      <c r="J194" s="141"/>
      <c r="K194" s="262"/>
    </row>
    <row r="195" spans="1:11" ht="18.75" customHeight="1" x14ac:dyDescent="0.25">
      <c r="A195" s="85"/>
      <c r="B195" s="259"/>
      <c r="C195" s="81" t="s">
        <v>49</v>
      </c>
      <c r="D195" s="260"/>
      <c r="E195" s="241"/>
      <c r="F195" s="141">
        <v>7625050</v>
      </c>
      <c r="G195" s="261"/>
      <c r="H195" s="45"/>
      <c r="I195" s="152"/>
      <c r="J195" s="141"/>
      <c r="K195" s="262"/>
    </row>
    <row r="196" spans="1:11" ht="32.25" customHeight="1" x14ac:dyDescent="0.25">
      <c r="A196" s="86"/>
      <c r="B196" s="301"/>
      <c r="C196" s="81" t="s">
        <v>198</v>
      </c>
      <c r="D196" s="228"/>
      <c r="E196" s="302"/>
      <c r="F196" s="142">
        <v>2271360</v>
      </c>
      <c r="G196" s="303"/>
      <c r="H196" s="288"/>
      <c r="I196" s="304"/>
      <c r="J196" s="142"/>
      <c r="K196" s="305"/>
    </row>
    <row r="197" spans="1:11" ht="32.25" customHeight="1" x14ac:dyDescent="0.25">
      <c r="A197" s="86"/>
      <c r="B197" s="301"/>
      <c r="C197" s="250" t="s">
        <v>215</v>
      </c>
      <c r="D197" s="228"/>
      <c r="E197" s="302"/>
      <c r="F197" s="142">
        <v>4844926</v>
      </c>
      <c r="G197" s="303"/>
      <c r="H197" s="288"/>
      <c r="I197" s="304"/>
      <c r="J197" s="142"/>
      <c r="K197" s="305"/>
    </row>
    <row r="198" spans="1:11" ht="32.25" customHeight="1" x14ac:dyDescent="0.25">
      <c r="A198" s="86"/>
      <c r="B198" s="301"/>
      <c r="C198" s="81" t="s">
        <v>201</v>
      </c>
      <c r="D198" s="260"/>
      <c r="E198" s="241"/>
      <c r="F198" s="141">
        <v>217659</v>
      </c>
      <c r="G198" s="303"/>
      <c r="H198" s="288"/>
      <c r="I198" s="304"/>
      <c r="J198" s="142"/>
      <c r="K198" s="305"/>
    </row>
    <row r="199" spans="1:11" ht="32.25" customHeight="1" x14ac:dyDescent="0.25">
      <c r="A199" s="86"/>
      <c r="B199" s="301"/>
      <c r="C199" s="81" t="s">
        <v>214</v>
      </c>
      <c r="D199" s="260"/>
      <c r="E199" s="302"/>
      <c r="F199" s="142">
        <v>11344500</v>
      </c>
      <c r="G199" s="303"/>
      <c r="H199" s="288"/>
      <c r="I199" s="304"/>
      <c r="J199" s="142"/>
      <c r="K199" s="305"/>
    </row>
    <row r="200" spans="1:11" ht="51.75" customHeight="1" x14ac:dyDescent="0.25">
      <c r="A200" s="86"/>
      <c r="B200" s="301"/>
      <c r="C200" s="251" t="s">
        <v>225</v>
      </c>
      <c r="D200" s="228"/>
      <c r="E200" s="302"/>
      <c r="F200" s="142">
        <v>4350944</v>
      </c>
      <c r="G200" s="303"/>
      <c r="H200" s="288"/>
      <c r="I200" s="304"/>
      <c r="J200" s="142"/>
      <c r="K200" s="305"/>
    </row>
    <row r="201" spans="1:11" ht="51.75" customHeight="1" x14ac:dyDescent="0.25">
      <c r="A201" s="86"/>
      <c r="B201" s="301"/>
      <c r="C201" s="81" t="s">
        <v>227</v>
      </c>
      <c r="D201" s="260"/>
      <c r="E201" s="241"/>
      <c r="F201" s="141">
        <v>14940000</v>
      </c>
      <c r="G201" s="303"/>
      <c r="H201" s="288"/>
      <c r="I201" s="304"/>
      <c r="J201" s="142"/>
      <c r="K201" s="305"/>
    </row>
    <row r="202" spans="1:11" ht="51.75" customHeight="1" x14ac:dyDescent="0.25">
      <c r="A202" s="86"/>
      <c r="B202" s="301"/>
      <c r="C202" s="81" t="s">
        <v>231</v>
      </c>
      <c r="D202" s="260"/>
      <c r="E202" s="241"/>
      <c r="F202" s="141">
        <v>546198</v>
      </c>
      <c r="G202" s="303"/>
      <c r="H202" s="288"/>
      <c r="I202" s="304"/>
      <c r="J202" s="142"/>
      <c r="K202" s="305"/>
    </row>
    <row r="203" spans="1:11" ht="18.75" customHeight="1" x14ac:dyDescent="0.25">
      <c r="A203" s="86"/>
      <c r="B203" s="86"/>
      <c r="C203" s="76"/>
      <c r="D203" s="228"/>
      <c r="E203" s="139" t="s">
        <v>112</v>
      </c>
      <c r="F203" s="150">
        <f>SUM(F193:F202)</f>
        <v>92601279</v>
      </c>
      <c r="G203" s="38"/>
      <c r="H203" s="288"/>
      <c r="I203" s="162">
        <v>1</v>
      </c>
      <c r="J203" s="150">
        <v>122200000</v>
      </c>
      <c r="K203" s="184">
        <f>+J203-F203</f>
        <v>29598721</v>
      </c>
    </row>
    <row r="204" spans="1:11" ht="21" x14ac:dyDescent="0.25">
      <c r="A204" s="86"/>
      <c r="B204" s="255">
        <v>4.03</v>
      </c>
      <c r="C204" s="157" t="s">
        <v>147</v>
      </c>
      <c r="D204" s="256"/>
      <c r="E204" s="157"/>
      <c r="F204" s="198"/>
      <c r="G204" s="257"/>
      <c r="H204" s="258"/>
      <c r="I204" s="157"/>
      <c r="J204" s="198"/>
      <c r="K204" s="157"/>
    </row>
    <row r="205" spans="1:11" ht="18.75" customHeight="1" x14ac:dyDescent="0.25">
      <c r="A205" s="85"/>
      <c r="B205" s="259"/>
      <c r="C205" s="81" t="s">
        <v>148</v>
      </c>
      <c r="D205" s="260" t="s">
        <v>103</v>
      </c>
      <c r="E205" s="241">
        <v>100</v>
      </c>
      <c r="F205" s="141">
        <v>834968</v>
      </c>
      <c r="G205" s="261"/>
      <c r="H205" s="45"/>
      <c r="I205" s="152"/>
      <c r="J205" s="141"/>
      <c r="K205" s="262"/>
    </row>
    <row r="206" spans="1:11" ht="18.75" customHeight="1" x14ac:dyDescent="0.25">
      <c r="A206" s="85"/>
      <c r="B206" s="259"/>
      <c r="C206" s="81" t="s">
        <v>163</v>
      </c>
      <c r="D206" s="260" t="s">
        <v>164</v>
      </c>
      <c r="E206" s="241">
        <v>2596</v>
      </c>
      <c r="F206" s="141">
        <v>5420448</v>
      </c>
      <c r="G206" s="261"/>
      <c r="H206" s="45"/>
      <c r="I206" s="152"/>
      <c r="J206" s="141"/>
      <c r="K206" s="262"/>
    </row>
    <row r="207" spans="1:11" ht="18.75" customHeight="1" x14ac:dyDescent="0.25">
      <c r="A207" s="85"/>
      <c r="B207" s="259"/>
      <c r="C207" s="81" t="s">
        <v>165</v>
      </c>
      <c r="D207" s="260" t="s">
        <v>139</v>
      </c>
      <c r="E207" s="241">
        <v>70</v>
      </c>
      <c r="F207" s="141">
        <v>23522030</v>
      </c>
      <c r="G207" s="261"/>
      <c r="H207" s="45"/>
      <c r="I207" s="152"/>
      <c r="J207" s="141"/>
      <c r="K207" s="262"/>
    </row>
    <row r="208" spans="1:11" ht="18.75" customHeight="1" x14ac:dyDescent="0.25">
      <c r="A208" s="85"/>
      <c r="B208" s="259"/>
      <c r="C208" s="81" t="s">
        <v>167</v>
      </c>
      <c r="D208" s="260" t="s">
        <v>168</v>
      </c>
      <c r="E208" s="241"/>
      <c r="F208" s="141">
        <v>321873</v>
      </c>
      <c r="G208" s="261"/>
      <c r="H208" s="45"/>
      <c r="I208" s="152"/>
      <c r="J208" s="141"/>
      <c r="K208" s="262"/>
    </row>
    <row r="209" spans="1:11" ht="18.75" customHeight="1" x14ac:dyDescent="0.25">
      <c r="A209" s="85"/>
      <c r="B209" s="259"/>
      <c r="C209" s="81" t="s">
        <v>173</v>
      </c>
      <c r="D209" s="260" t="s">
        <v>103</v>
      </c>
      <c r="E209" s="241"/>
      <c r="F209" s="141">
        <v>1350000</v>
      </c>
      <c r="G209" s="261"/>
      <c r="H209" s="45"/>
      <c r="I209" s="152"/>
      <c r="J209" s="141"/>
      <c r="K209" s="262"/>
    </row>
    <row r="210" spans="1:11" ht="18.75" customHeight="1" x14ac:dyDescent="0.25">
      <c r="A210" s="85"/>
      <c r="B210" s="259"/>
      <c r="C210" s="81" t="s">
        <v>176</v>
      </c>
      <c r="D210" s="260" t="s">
        <v>164</v>
      </c>
      <c r="E210" s="241"/>
      <c r="F210" s="141">
        <v>548100</v>
      </c>
      <c r="G210" s="261"/>
      <c r="H210" s="45"/>
      <c r="I210" s="152"/>
      <c r="J210" s="141"/>
      <c r="K210" s="262"/>
    </row>
    <row r="211" spans="1:11" ht="24" customHeight="1" x14ac:dyDescent="0.25">
      <c r="A211" s="85"/>
      <c r="B211" s="259"/>
      <c r="C211" s="81" t="s">
        <v>187</v>
      </c>
      <c r="D211" s="260"/>
      <c r="E211" s="241"/>
      <c r="F211" s="141">
        <v>2998278</v>
      </c>
      <c r="G211" s="261"/>
      <c r="H211" s="45"/>
      <c r="I211" s="152"/>
      <c r="J211" s="141"/>
      <c r="K211" s="262"/>
    </row>
    <row r="212" spans="1:11" ht="38.25" customHeight="1" x14ac:dyDescent="0.25">
      <c r="A212" s="85"/>
      <c r="B212" s="259"/>
      <c r="C212" s="81" t="s">
        <v>199</v>
      </c>
      <c r="D212" s="260"/>
      <c r="E212" s="241"/>
      <c r="F212" s="141">
        <v>4299360</v>
      </c>
      <c r="G212" s="261"/>
      <c r="H212" s="45"/>
      <c r="I212" s="152"/>
      <c r="J212" s="141"/>
      <c r="K212" s="262"/>
    </row>
    <row r="213" spans="1:11" ht="38.25" customHeight="1" x14ac:dyDescent="0.25">
      <c r="A213" s="85"/>
      <c r="B213" s="259"/>
      <c r="C213" s="81" t="s">
        <v>212</v>
      </c>
      <c r="D213" s="260" t="s">
        <v>213</v>
      </c>
      <c r="E213" s="241"/>
      <c r="F213" s="141">
        <v>784000</v>
      </c>
      <c r="G213" s="261"/>
      <c r="H213" s="45"/>
      <c r="I213" s="152"/>
      <c r="J213" s="141"/>
      <c r="K213" s="262"/>
    </row>
    <row r="214" spans="1:11" ht="38.25" customHeight="1" x14ac:dyDescent="0.25">
      <c r="A214" s="85"/>
      <c r="B214" s="259"/>
      <c r="C214" s="81" t="s">
        <v>216</v>
      </c>
      <c r="D214" s="260"/>
      <c r="E214" s="241"/>
      <c r="F214" s="141">
        <v>27239162</v>
      </c>
      <c r="G214" s="261"/>
      <c r="H214" s="45"/>
      <c r="I214" s="152"/>
      <c r="J214" s="141"/>
      <c r="K214" s="262"/>
    </row>
    <row r="215" spans="1:11" ht="38.25" customHeight="1" x14ac:dyDescent="0.25">
      <c r="A215" s="85"/>
      <c r="B215" s="259"/>
      <c r="C215" s="251" t="s">
        <v>225</v>
      </c>
      <c r="D215" s="260"/>
      <c r="E215" s="241"/>
      <c r="F215" s="141">
        <v>13579264</v>
      </c>
      <c r="G215" s="261"/>
      <c r="H215" s="45"/>
      <c r="I215" s="152"/>
      <c r="J215" s="141"/>
      <c r="K215" s="262"/>
    </row>
    <row r="216" spans="1:11" ht="38.25" customHeight="1" x14ac:dyDescent="0.25">
      <c r="A216" s="85"/>
      <c r="B216" s="259"/>
      <c r="C216" s="81" t="s">
        <v>214</v>
      </c>
      <c r="D216" s="260"/>
      <c r="E216" s="241"/>
      <c r="F216" s="79">
        <v>47440032</v>
      </c>
      <c r="G216" s="261"/>
      <c r="H216" s="45"/>
      <c r="I216" s="152"/>
      <c r="J216" s="141"/>
      <c r="K216" s="262"/>
    </row>
    <row r="217" spans="1:11" ht="18.75" customHeight="1" x14ac:dyDescent="0.25">
      <c r="A217" s="85"/>
      <c r="B217" s="259"/>
      <c r="C217" s="81"/>
      <c r="D217" s="260"/>
      <c r="E217" s="137" t="s">
        <v>112</v>
      </c>
      <c r="F217" s="146">
        <f>SUM(F205:F216)</f>
        <v>128337515</v>
      </c>
      <c r="G217" s="40"/>
      <c r="H217" s="45"/>
      <c r="I217" s="306"/>
      <c r="J217" s="146">
        <v>227841490.5</v>
      </c>
      <c r="K217" s="182">
        <f>+J217-F217</f>
        <v>99503975.5</v>
      </c>
    </row>
    <row r="218" spans="1:11" ht="34.5" thickBot="1" x14ac:dyDescent="0.3">
      <c r="A218" s="87"/>
      <c r="B218" s="87"/>
      <c r="C218" s="236" t="s">
        <v>158</v>
      </c>
      <c r="D218" s="207"/>
      <c r="E218" s="123"/>
      <c r="F218" s="149">
        <f>+F203+F217+F191</f>
        <v>232718612</v>
      </c>
      <c r="G218" s="50"/>
      <c r="H218" s="288"/>
      <c r="I218" s="154"/>
      <c r="J218" s="149">
        <v>496068258.39999998</v>
      </c>
      <c r="K218" s="149">
        <f>+J218-F218</f>
        <v>263349646.39999998</v>
      </c>
    </row>
    <row r="219" spans="1:11" x14ac:dyDescent="0.25">
      <c r="A219" s="322">
        <v>9</v>
      </c>
      <c r="B219" s="323"/>
      <c r="C219" s="324" t="s">
        <v>228</v>
      </c>
      <c r="D219" s="325"/>
      <c r="E219" s="326"/>
      <c r="F219" s="327"/>
      <c r="G219" s="328"/>
      <c r="H219" s="329"/>
      <c r="I219" s="330"/>
      <c r="J219" s="327"/>
      <c r="K219" s="331"/>
    </row>
    <row r="220" spans="1:11" ht="21" x14ac:dyDescent="0.25">
      <c r="A220" s="86"/>
      <c r="B220" s="255">
        <v>9.01</v>
      </c>
      <c r="C220" s="157" t="s">
        <v>229</v>
      </c>
      <c r="D220" s="256"/>
      <c r="E220" s="157"/>
      <c r="F220" s="198"/>
      <c r="G220" s="257"/>
      <c r="H220" s="258"/>
      <c r="I220" s="157"/>
      <c r="J220" s="198"/>
      <c r="K220" s="157"/>
    </row>
    <row r="221" spans="1:11" x14ac:dyDescent="0.25">
      <c r="A221" s="332"/>
      <c r="B221" s="112"/>
      <c r="C221" s="333" t="s">
        <v>230</v>
      </c>
      <c r="D221" s="223"/>
      <c r="E221" s="128"/>
      <c r="F221" s="334">
        <v>23600000</v>
      </c>
      <c r="G221" s="335"/>
      <c r="H221" s="336"/>
      <c r="I221" s="337"/>
      <c r="J221" s="334"/>
      <c r="K221" s="334"/>
    </row>
    <row r="222" spans="1:11" x14ac:dyDescent="0.25">
      <c r="A222" s="338"/>
      <c r="B222" s="339"/>
      <c r="C222" s="340"/>
      <c r="D222" s="341"/>
      <c r="E222" s="137" t="s">
        <v>112</v>
      </c>
      <c r="F222" s="146">
        <f>+SUM(F221)</f>
        <v>23600000</v>
      </c>
      <c r="G222" s="40"/>
      <c r="H222" s="45"/>
      <c r="I222" s="306"/>
      <c r="J222" s="146">
        <v>327662207.89743489</v>
      </c>
      <c r="K222" s="182"/>
    </row>
    <row r="223" spans="1:11" ht="42.75" thickBot="1" x14ac:dyDescent="0.3">
      <c r="A223" s="320">
        <v>10</v>
      </c>
      <c r="B223" s="321"/>
      <c r="C223" s="343" t="s">
        <v>207</v>
      </c>
      <c r="D223" s="344"/>
      <c r="E223" s="345"/>
      <c r="F223" s="346"/>
      <c r="G223" s="347"/>
      <c r="H223" s="348"/>
      <c r="I223" s="349"/>
      <c r="J223" s="346"/>
      <c r="K223" s="350"/>
    </row>
    <row r="224" spans="1:11" ht="29.25" customHeight="1" x14ac:dyDescent="0.25">
      <c r="A224" s="316"/>
      <c r="B224" s="116"/>
      <c r="C224" s="351" t="s">
        <v>208</v>
      </c>
      <c r="D224" s="218"/>
      <c r="E224" s="124"/>
      <c r="F224" s="352">
        <v>335582887</v>
      </c>
      <c r="G224" s="353"/>
      <c r="H224" s="354"/>
      <c r="I224" s="355"/>
      <c r="J224" s="352"/>
      <c r="K224" s="352"/>
    </row>
    <row r="225" spans="1:21" ht="29.25" customHeight="1" x14ac:dyDescent="0.25">
      <c r="A225" s="342"/>
      <c r="B225" s="116"/>
      <c r="C225" s="351" t="s">
        <v>208</v>
      </c>
      <c r="D225" s="218"/>
      <c r="E225" s="124"/>
      <c r="F225" s="352">
        <v>296319073</v>
      </c>
      <c r="G225" s="353"/>
      <c r="H225" s="354"/>
      <c r="I225" s="355"/>
      <c r="J225" s="352"/>
      <c r="K225" s="352"/>
    </row>
    <row r="226" spans="1:21" ht="29.25" customHeight="1" x14ac:dyDescent="0.25">
      <c r="A226" s="85"/>
      <c r="B226" s="259"/>
      <c r="C226" s="81"/>
      <c r="D226" s="260"/>
      <c r="E226" s="137" t="s">
        <v>112</v>
      </c>
      <c r="F226" s="146">
        <f>+SUM(F224:F225)</f>
        <v>631901960</v>
      </c>
      <c r="G226" s="40"/>
      <c r="H226" s="45"/>
      <c r="I226" s="306"/>
      <c r="J226" s="146">
        <v>2061366387.5914559</v>
      </c>
      <c r="K226" s="182">
        <f>+J226-F226</f>
        <v>1429464427.5914559</v>
      </c>
    </row>
    <row r="227" spans="1:21" ht="29.25" customHeight="1" thickBot="1" x14ac:dyDescent="0.3">
      <c r="A227" s="87"/>
      <c r="B227" s="87"/>
      <c r="C227" s="236" t="s">
        <v>209</v>
      </c>
      <c r="D227" s="207"/>
      <c r="E227" s="123"/>
      <c r="F227" s="149">
        <f>+F226</f>
        <v>631901960</v>
      </c>
      <c r="G227" s="50"/>
      <c r="H227" s="288"/>
      <c r="I227" s="154"/>
      <c r="J227" s="149">
        <v>2061366387.5914559</v>
      </c>
      <c r="K227" s="317">
        <f>+J227-F227</f>
        <v>1429464427.5914559</v>
      </c>
    </row>
    <row r="228" spans="1:21" ht="34.5" thickBot="1" x14ac:dyDescent="0.3">
      <c r="A228" s="309">
        <v>35</v>
      </c>
      <c r="B228" s="310"/>
      <c r="C228" s="311" t="s">
        <v>180</v>
      </c>
      <c r="D228" s="312"/>
      <c r="E228" s="313"/>
      <c r="F228" s="313"/>
      <c r="G228" s="314"/>
      <c r="H228" s="53"/>
      <c r="I228" s="313"/>
      <c r="J228" s="313"/>
      <c r="K228" s="315"/>
    </row>
    <row r="229" spans="1:21" ht="64.5" customHeight="1" x14ac:dyDescent="0.25">
      <c r="A229" s="85"/>
      <c r="B229" s="259"/>
      <c r="C229" s="81" t="s">
        <v>181</v>
      </c>
      <c r="D229" s="260"/>
      <c r="E229" s="241"/>
      <c r="F229" s="141">
        <v>8816000</v>
      </c>
      <c r="G229" s="261"/>
      <c r="H229" s="45"/>
      <c r="I229" s="152"/>
      <c r="J229" s="141"/>
      <c r="K229" s="262"/>
    </row>
    <row r="230" spans="1:21" ht="63" x14ac:dyDescent="0.25">
      <c r="A230" s="85"/>
      <c r="B230" s="259"/>
      <c r="C230" s="81" t="s">
        <v>182</v>
      </c>
      <c r="D230" s="260"/>
      <c r="E230" s="241"/>
      <c r="F230" s="141">
        <f>8816000+1500000</f>
        <v>10316000</v>
      </c>
      <c r="G230" s="261"/>
      <c r="H230" s="45"/>
      <c r="I230" s="152"/>
      <c r="J230" s="141"/>
      <c r="K230" s="262"/>
    </row>
    <row r="231" spans="1:21" x14ac:dyDescent="0.25">
      <c r="A231" s="85"/>
      <c r="B231" s="259"/>
      <c r="C231" s="81"/>
      <c r="D231" s="260"/>
      <c r="E231" s="263" t="s">
        <v>112</v>
      </c>
      <c r="F231" s="264">
        <f>+SUM(F229:F230)</f>
        <v>19132000</v>
      </c>
      <c r="G231" s="265"/>
      <c r="H231" s="291"/>
      <c r="I231" s="266"/>
      <c r="J231" s="264">
        <v>103160000</v>
      </c>
      <c r="K231" s="267">
        <f>+J231-F231</f>
        <v>84028000</v>
      </c>
    </row>
    <row r="232" spans="1:21" x14ac:dyDescent="0.25">
      <c r="A232" s="87"/>
      <c r="B232" s="87"/>
      <c r="C232" s="236" t="s">
        <v>210</v>
      </c>
      <c r="D232" s="207"/>
      <c r="E232" s="123"/>
      <c r="F232" s="149">
        <f>+F231</f>
        <v>19132000</v>
      </c>
      <c r="G232" s="50"/>
      <c r="H232" s="288"/>
      <c r="I232" s="154"/>
      <c r="J232" s="149">
        <f>+J231</f>
        <v>103160000</v>
      </c>
      <c r="K232" s="317">
        <f>+J232-F232</f>
        <v>84028000</v>
      </c>
    </row>
    <row r="233" spans="1:21" ht="34.5" thickBot="1" x14ac:dyDescent="0.3">
      <c r="A233" s="14"/>
      <c r="B233" s="14"/>
      <c r="C233" s="253"/>
      <c r="D233" s="12"/>
      <c r="E233" s="13" t="s">
        <v>101</v>
      </c>
      <c r="F233" s="195">
        <f>+F15+F33+F44+F124+F160+F185+F218+F227+F232</f>
        <v>2054370910.7348001</v>
      </c>
      <c r="G233" s="14"/>
      <c r="H233" s="292"/>
      <c r="I233" s="14"/>
      <c r="J233" s="201"/>
      <c r="K233" s="15"/>
    </row>
    <row r="236" spans="1:21" x14ac:dyDescent="0.25">
      <c r="U236" s="6" t="s">
        <v>179</v>
      </c>
    </row>
    <row r="246" spans="8:8" ht="20.25" customHeight="1" x14ac:dyDescent="0.25">
      <c r="H246" s="294"/>
    </row>
  </sheetData>
  <mergeCells count="4">
    <mergeCell ref="A7:B7"/>
    <mergeCell ref="A1:K4"/>
    <mergeCell ref="A5:K5"/>
    <mergeCell ref="A6:D6"/>
  </mergeCells>
  <pageMargins left="0.70866141732283472" right="0.70866141732283472" top="0.74803149606299213" bottom="0.74803149606299213" header="0.31496062992125984" footer="0.31496062992125984"/>
  <pageSetup paperSize="9" scale="11" fitToHeight="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showGridLines="0" tabSelected="1" workbookViewId="0">
      <selection activeCell="B42" sqref="B42"/>
    </sheetView>
  </sheetViews>
  <sheetFormatPr baseColWidth="10" defaultRowHeight="15" x14ac:dyDescent="0.25"/>
  <cols>
    <col min="1" max="1" width="18.5703125" customWidth="1"/>
    <col min="2" max="2" width="22.85546875" customWidth="1"/>
  </cols>
  <sheetData>
    <row r="1" spans="1:4" x14ac:dyDescent="0.25">
      <c r="A1" s="363"/>
      <c r="B1" s="363"/>
      <c r="C1" s="363"/>
      <c r="D1" s="363"/>
    </row>
    <row r="2" spans="1:4" x14ac:dyDescent="0.25">
      <c r="A2" s="363"/>
      <c r="B2" s="363"/>
      <c r="C2" s="363"/>
      <c r="D2" s="363"/>
    </row>
    <row r="3" spans="1:4" x14ac:dyDescent="0.25">
      <c r="A3" s="363"/>
      <c r="B3" s="363"/>
      <c r="C3" s="363"/>
      <c r="D3" s="363"/>
    </row>
    <row r="4" spans="1:4" x14ac:dyDescent="0.25">
      <c r="A4" s="363"/>
      <c r="B4" s="363"/>
      <c r="C4" s="363"/>
      <c r="D4" s="363"/>
    </row>
    <row r="5" spans="1:4" x14ac:dyDescent="0.25">
      <c r="A5" s="364" t="s">
        <v>86</v>
      </c>
      <c r="B5" s="364"/>
      <c r="C5" s="364"/>
      <c r="D5" s="364"/>
    </row>
    <row r="6" spans="1:4" x14ac:dyDescent="0.25">
      <c r="A6" s="364"/>
      <c r="B6" s="364"/>
      <c r="C6" s="364"/>
      <c r="D6" s="364"/>
    </row>
    <row r="7" spans="1:4" x14ac:dyDescent="0.25">
      <c r="A7" s="364"/>
      <c r="B7" s="364"/>
      <c r="C7" s="364"/>
      <c r="D7" s="364"/>
    </row>
    <row r="8" spans="1:4" x14ac:dyDescent="0.25">
      <c r="A8" s="364"/>
      <c r="B8" s="364"/>
      <c r="C8" s="364"/>
      <c r="D8" s="364"/>
    </row>
    <row r="9" spans="1:4" ht="18.75" x14ac:dyDescent="0.3">
      <c r="A9" s="364" t="s">
        <v>87</v>
      </c>
      <c r="B9" s="364"/>
      <c r="C9" s="364"/>
      <c r="D9" s="364"/>
    </row>
    <row r="10" spans="1:4" ht="30" x14ac:dyDescent="0.25">
      <c r="A10" s="1" t="s">
        <v>65</v>
      </c>
      <c r="B10" s="1" t="s">
        <v>68</v>
      </c>
      <c r="C10" s="1" t="s">
        <v>66</v>
      </c>
      <c r="D10" s="1" t="s">
        <v>67</v>
      </c>
    </row>
    <row r="11" spans="1:4" x14ac:dyDescent="0.25">
      <c r="A11" s="365" t="s">
        <v>84</v>
      </c>
      <c r="B11" s="1" t="s">
        <v>69</v>
      </c>
      <c r="C11" s="2">
        <v>42583</v>
      </c>
      <c r="D11" s="2">
        <v>42674</v>
      </c>
    </row>
    <row r="12" spans="1:4" x14ac:dyDescent="0.25">
      <c r="A12" s="365"/>
      <c r="B12" s="1" t="s">
        <v>70</v>
      </c>
      <c r="C12" s="2">
        <v>42583</v>
      </c>
      <c r="D12" s="2">
        <v>42643</v>
      </c>
    </row>
    <row r="13" spans="1:4" ht="24" customHeight="1" x14ac:dyDescent="0.25">
      <c r="A13" s="365"/>
      <c r="B13" s="1" t="s">
        <v>71</v>
      </c>
      <c r="C13" s="2">
        <v>42583</v>
      </c>
      <c r="D13" s="2">
        <v>43708</v>
      </c>
    </row>
    <row r="14" spans="1:4" ht="35.25" customHeight="1" x14ac:dyDescent="0.25">
      <c r="A14" s="3" t="s">
        <v>72</v>
      </c>
      <c r="B14" s="1" t="s">
        <v>73</v>
      </c>
      <c r="C14" s="2">
        <v>42598</v>
      </c>
      <c r="D14" s="2">
        <v>42618</v>
      </c>
    </row>
    <row r="15" spans="1:4" ht="24" customHeight="1" x14ac:dyDescent="0.25">
      <c r="A15" s="3"/>
      <c r="B15" s="1" t="s">
        <v>74</v>
      </c>
      <c r="C15" s="2">
        <v>42598</v>
      </c>
      <c r="D15" s="2">
        <v>42963</v>
      </c>
    </row>
    <row r="16" spans="1:4" ht="36" customHeight="1" x14ac:dyDescent="0.25">
      <c r="A16" s="3"/>
      <c r="B16" s="1" t="s">
        <v>75</v>
      </c>
      <c r="C16" s="2">
        <v>42598</v>
      </c>
      <c r="D16" s="2">
        <v>42679</v>
      </c>
    </row>
    <row r="17" spans="1:4" x14ac:dyDescent="0.25">
      <c r="A17" s="3"/>
      <c r="B17" s="1" t="s">
        <v>71</v>
      </c>
      <c r="C17" s="2">
        <v>42598</v>
      </c>
      <c r="D17" s="2">
        <v>42618</v>
      </c>
    </row>
    <row r="18" spans="1:4" ht="20.25" customHeight="1" x14ac:dyDescent="0.25">
      <c r="A18" s="365" t="s">
        <v>76</v>
      </c>
      <c r="B18" s="3" t="s">
        <v>69</v>
      </c>
      <c r="C18" s="2">
        <v>42583</v>
      </c>
      <c r="D18" s="2">
        <v>42948</v>
      </c>
    </row>
    <row r="19" spans="1:4" ht="11.25" customHeight="1" x14ac:dyDescent="0.25">
      <c r="A19" s="365"/>
      <c r="B19" s="3" t="s">
        <v>71</v>
      </c>
      <c r="C19" s="2">
        <v>42583</v>
      </c>
      <c r="D19" s="2">
        <v>43983</v>
      </c>
    </row>
    <row r="20" spans="1:4" x14ac:dyDescent="0.25">
      <c r="A20" s="365" t="s">
        <v>77</v>
      </c>
      <c r="B20" s="3" t="s">
        <v>69</v>
      </c>
      <c r="C20" s="2">
        <v>42550</v>
      </c>
      <c r="D20" s="2">
        <v>42686</v>
      </c>
    </row>
    <row r="21" spans="1:4" x14ac:dyDescent="0.25">
      <c r="A21" s="365"/>
      <c r="B21" s="3" t="s">
        <v>71</v>
      </c>
      <c r="C21" s="2">
        <v>42550</v>
      </c>
      <c r="D21" s="2">
        <v>43720</v>
      </c>
    </row>
    <row r="22" spans="1:4" ht="12.75" customHeight="1" x14ac:dyDescent="0.25">
      <c r="A22" s="365"/>
      <c r="B22" s="3" t="s">
        <v>78</v>
      </c>
      <c r="C22" s="2">
        <v>42550</v>
      </c>
      <c r="D22" s="3" t="s">
        <v>79</v>
      </c>
    </row>
    <row r="23" spans="1:4" ht="21.75" customHeight="1" x14ac:dyDescent="0.25">
      <c r="A23" s="365" t="s">
        <v>85</v>
      </c>
      <c r="B23" s="3" t="s">
        <v>69</v>
      </c>
      <c r="C23" s="2">
        <v>42529</v>
      </c>
      <c r="D23" s="2">
        <v>42621</v>
      </c>
    </row>
    <row r="24" spans="1:4" ht="21.75" customHeight="1" x14ac:dyDescent="0.25">
      <c r="A24" s="365"/>
      <c r="B24" s="3" t="s">
        <v>82</v>
      </c>
      <c r="C24" s="2">
        <v>42529</v>
      </c>
      <c r="D24" s="2">
        <v>42590</v>
      </c>
    </row>
    <row r="25" spans="1:4" x14ac:dyDescent="0.25">
      <c r="A25" s="365"/>
      <c r="B25" s="3" t="s">
        <v>80</v>
      </c>
      <c r="C25" s="2">
        <v>42529</v>
      </c>
      <c r="D25" s="2">
        <v>42894</v>
      </c>
    </row>
    <row r="26" spans="1:4" x14ac:dyDescent="0.25">
      <c r="A26" s="365"/>
      <c r="B26" s="3" t="s">
        <v>81</v>
      </c>
      <c r="C26" s="2">
        <v>42529</v>
      </c>
      <c r="D26" s="2">
        <v>43654</v>
      </c>
    </row>
    <row r="27" spans="1:4" x14ac:dyDescent="0.25">
      <c r="A27" s="366" t="s">
        <v>161</v>
      </c>
      <c r="B27" s="4" t="s">
        <v>69</v>
      </c>
      <c r="C27" s="5">
        <v>42543</v>
      </c>
      <c r="D27" s="5">
        <v>42665</v>
      </c>
    </row>
    <row r="28" spans="1:4" x14ac:dyDescent="0.25">
      <c r="A28" s="366"/>
      <c r="B28" s="4" t="s">
        <v>82</v>
      </c>
      <c r="C28" s="5">
        <v>42543</v>
      </c>
      <c r="D28" s="5">
        <v>42726</v>
      </c>
    </row>
    <row r="29" spans="1:4" x14ac:dyDescent="0.25">
      <c r="A29" s="366"/>
      <c r="B29" s="4" t="s">
        <v>83</v>
      </c>
      <c r="C29" s="5">
        <v>43638</v>
      </c>
      <c r="D29" s="5">
        <v>43730</v>
      </c>
    </row>
    <row r="30" spans="1:4" x14ac:dyDescent="0.25">
      <c r="A30" s="366"/>
      <c r="B30" s="4" t="s">
        <v>78</v>
      </c>
      <c r="C30" s="5">
        <v>43638</v>
      </c>
      <c r="D30" s="5">
        <v>43638</v>
      </c>
    </row>
    <row r="31" spans="1:4" x14ac:dyDescent="0.25">
      <c r="A31" s="366" t="s">
        <v>159</v>
      </c>
      <c r="B31" s="4" t="s">
        <v>69</v>
      </c>
      <c r="C31" s="5">
        <v>42634</v>
      </c>
      <c r="D31" s="5">
        <v>42720</v>
      </c>
    </row>
    <row r="32" spans="1:4" x14ac:dyDescent="0.25">
      <c r="A32" s="366"/>
      <c r="B32" s="4" t="s">
        <v>82</v>
      </c>
      <c r="C32" s="5">
        <v>42634</v>
      </c>
      <c r="D32" s="5">
        <v>42659</v>
      </c>
    </row>
    <row r="33" spans="1:4" x14ac:dyDescent="0.25">
      <c r="A33" s="366"/>
      <c r="B33" s="4" t="s">
        <v>83</v>
      </c>
      <c r="C33" s="5" t="s">
        <v>160</v>
      </c>
      <c r="D33" s="5">
        <v>43754</v>
      </c>
    </row>
    <row r="34" spans="1:4" x14ac:dyDescent="0.25">
      <c r="A34" s="366"/>
      <c r="B34" s="4" t="s">
        <v>78</v>
      </c>
      <c r="C34" s="5">
        <v>42634</v>
      </c>
      <c r="D34" s="5">
        <v>43754</v>
      </c>
    </row>
    <row r="35" spans="1:4" ht="30" x14ac:dyDescent="0.25">
      <c r="A35" s="367" t="s">
        <v>72</v>
      </c>
      <c r="B35" s="1" t="s">
        <v>73</v>
      </c>
      <c r="C35" s="2">
        <v>42648</v>
      </c>
      <c r="D35" s="2">
        <v>42729</v>
      </c>
    </row>
    <row r="36" spans="1:4" ht="30" x14ac:dyDescent="0.25">
      <c r="A36" s="367"/>
      <c r="B36" s="1" t="s">
        <v>74</v>
      </c>
      <c r="C36" s="2">
        <v>42648</v>
      </c>
      <c r="D36" s="2">
        <v>42668</v>
      </c>
    </row>
    <row r="37" spans="1:4" ht="30" x14ac:dyDescent="0.25">
      <c r="A37" s="367"/>
      <c r="B37" s="1" t="s">
        <v>75</v>
      </c>
      <c r="C37" s="2">
        <v>42648</v>
      </c>
      <c r="D37" s="2">
        <v>42668</v>
      </c>
    </row>
    <row r="38" spans="1:4" x14ac:dyDescent="0.25">
      <c r="A38" s="367"/>
      <c r="B38" s="1" t="s">
        <v>71</v>
      </c>
      <c r="C38" s="2">
        <v>42648</v>
      </c>
      <c r="D38" s="2">
        <v>43763</v>
      </c>
    </row>
  </sheetData>
  <mergeCells count="10">
    <mergeCell ref="A35:A38"/>
    <mergeCell ref="A27:A30"/>
    <mergeCell ref="A18:A19"/>
    <mergeCell ref="A20:A22"/>
    <mergeCell ref="A23:A26"/>
    <mergeCell ref="A1:D4"/>
    <mergeCell ref="A5:D8"/>
    <mergeCell ref="A9:D9"/>
    <mergeCell ref="A11:A13"/>
    <mergeCell ref="A31:A34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PRESUPUESTO__V10</vt:lpstr>
      <vt:lpstr>Control de polizas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SENEIDA HERRERA HINCAPIE</cp:lastModifiedBy>
  <cp:lastPrinted>2016-10-21T20:53:29Z</cp:lastPrinted>
  <dcterms:created xsi:type="dcterms:W3CDTF">2016-08-30T17:15:41Z</dcterms:created>
  <dcterms:modified xsi:type="dcterms:W3CDTF">2025-11-23T09:02:26Z</dcterms:modified>
</cp:coreProperties>
</file>